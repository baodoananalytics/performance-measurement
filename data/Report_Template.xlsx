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0. DA_Portfolio\202603_Performance Measurement\"/>
    </mc:Choice>
  </mc:AlternateContent>
  <xr:revisionPtr revIDLastSave="0" documentId="13_ncr:1_{9D5D09B8-3A3B-4AA7-AAF4-043AEBCE0ADB}" xr6:coauthVersionLast="47" xr6:coauthVersionMax="47" xr10:uidLastSave="{00000000-0000-0000-0000-000000000000}"/>
  <bookViews>
    <workbookView xWindow="-98" yWindow="-98" windowWidth="21795" windowHeight="12975" xr2:uid="{640A2586-21F3-4FC0-8FCC-D78EF73A94E2}"/>
  </bookViews>
  <sheets>
    <sheet name="Report" sheetId="4" r:id="rId1"/>
    <sheet name="monthly_card" sheetId="12" state="hidden" r:id="rId2"/>
    <sheet name="mtd" sheetId="8" state="hidden" r:id="rId3"/>
    <sheet name="monthly" sheetId="11" state="hidden" r:id="rId4"/>
    <sheet name="monthly_sta" sheetId="9" state="hidden" r:id="rId5"/>
  </sheets>
  <definedNames>
    <definedName name="Monthly_Date">OFFSET(monthly!$A$1,2,0,COUNTA(monthly!$A:$A)-2,1)</definedName>
    <definedName name="Monthly_Port">OFFSET(monthly!$A$1,2,2,COUNTA(monthly!$A:$A)-2,1)</definedName>
    <definedName name="Monthly_VNI">OFFSET(monthly!$A$1,2,1,COUNTA(monthly!$A:$A)-2,1)</definedName>
    <definedName name="MTD_Date">OFFSET(mtd!$A$1,1,0,COUNTA(mtd!$A:$A)-1,1)</definedName>
    <definedName name="MTD_Port">OFFSET(mtd!$A$1,1,1,COUNTA(mtd!$A:$A)-1,1)</definedName>
    <definedName name="MTD_VNI">OFFSET(mtd!$A$1,1,2,COUNTA(mtd!$A:$A)-1,1)</definedName>
    <definedName name="Sta_Beta">OFFSET(monthly_sta!$A$1,1,2,5,1)</definedName>
    <definedName name="Sta_InvHorizon">OFFSET(monthly_sta!$A$1,1,11,5,1) - OFFSET(monthly_sta!$A$1,1,9,5,1)</definedName>
    <definedName name="Sta_Return">OFFSET(monthly_sta!$A$1,1,14,5,1)</definedName>
    <definedName name="Sta_Stock">OFFSET(monthly_sta!$A$1,1,1,5,1)</definedName>
    <definedName name="YTD_Date">OFFSET(monthly!$A$1,1,0,COUNTA(monthly!$A:$A)-1,1)</definedName>
    <definedName name="YTD_Port">OFFSET(monthly!$A$1,1,4,COUNTA(monthly!$A:$A)-1,1)</definedName>
    <definedName name="YTD_VNI">OFFSET(monthly!$A$1,1,3,COUNTA(monthly!$A:$A)-1,1)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G2" i="12"/>
  <c r="G6" i="4" s="1"/>
  <c r="F2" i="12"/>
  <c r="G5" i="4" s="1"/>
  <c r="E2" i="12"/>
  <c r="A2" i="12"/>
  <c r="I5" i="4" s="1"/>
  <c r="C2" i="12"/>
  <c r="G4" i="4" s="1"/>
  <c r="B2" i="12"/>
  <c r="E5" i="4" s="1"/>
  <c r="F5" i="4"/>
  <c r="H5" i="4" l="1"/>
  <c r="I6" i="4"/>
  <c r="L5" i="4" s="1"/>
  <c r="B8" i="4" s="1"/>
  <c r="E6" i="4"/>
  <c r="F6" i="4"/>
  <c r="H6" i="4"/>
</calcChain>
</file>

<file path=xl/sharedStrings.xml><?xml version="1.0" encoding="utf-8"?>
<sst xmlns="http://schemas.openxmlformats.org/spreadsheetml/2006/main" count="159" uniqueCount="86">
  <si>
    <t>Beta</t>
  </si>
  <si>
    <t>HPG</t>
  </si>
  <si>
    <t>Date</t>
  </si>
  <si>
    <t>Hiệu suất tháng</t>
  </si>
  <si>
    <t>Hiệu suất VNI</t>
  </si>
  <si>
    <t>Số lệnh mua</t>
  </si>
  <si>
    <t>Chốt lời</t>
  </si>
  <si>
    <t>Cắt lỗ</t>
  </si>
  <si>
    <t>Tháng</t>
  </si>
  <si>
    <t>MSN</t>
  </si>
  <si>
    <t>NTP</t>
  </si>
  <si>
    <t>index_vni</t>
  </si>
  <si>
    <t>index_port</t>
  </si>
  <si>
    <t>Recommend_Date</t>
  </si>
  <si>
    <t>Ticker</t>
  </si>
  <si>
    <t>Price</t>
  </si>
  <si>
    <t>Buy_Range_1</t>
  </si>
  <si>
    <t>Buy_Range_2</t>
  </si>
  <si>
    <t>Target_1</t>
  </si>
  <si>
    <t>Target_2</t>
  </si>
  <si>
    <t>Cutloss</t>
  </si>
  <si>
    <t>Open_Date</t>
  </si>
  <si>
    <t>Open_Price</t>
  </si>
  <si>
    <t>Close_Date</t>
  </si>
  <si>
    <t>Close_Price</t>
  </si>
  <si>
    <t>month</t>
  </si>
  <si>
    <t>return</t>
  </si>
  <si>
    <t>2025-12</t>
  </si>
  <si>
    <t>KSB</t>
  </si>
  <si>
    <t>BID</t>
  </si>
  <si>
    <t>return_vni</t>
  </si>
  <si>
    <t>return_port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</si>
  <si>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</si>
  <si>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</si>
  <si>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</si>
  <si>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</si>
  <si>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</si>
  <si>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</si>
  <si>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</si>
  <si>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</si>
  <si>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</si>
  <si>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</si>
  <si>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</si>
  <si>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</si>
  <si>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Figure 02: Portfolio performance in month</t>
  </si>
  <si>
    <t>Figure 03: Outstanding stocks in month</t>
  </si>
  <si>
    <t>Figure 04: YTD Portfolio Performance</t>
  </si>
  <si>
    <t>Figure 05: Portfolio Monthly Performance</t>
  </si>
  <si>
    <t>PET</t>
  </si>
  <si>
    <t>FRT</t>
  </si>
  <si>
    <t>GDA</t>
  </si>
  <si>
    <t>BVH</t>
  </si>
  <si>
    <t>GAS</t>
  </si>
  <si>
    <t>PNJ</t>
  </si>
  <si>
    <t>PC1</t>
  </si>
  <si>
    <t>PTB</t>
  </si>
  <si>
    <t>PVS</t>
  </si>
  <si>
    <t>NTL</t>
  </si>
  <si>
    <t>MSB</t>
  </si>
  <si>
    <t>DBC</t>
  </si>
  <si>
    <t>CTI</t>
  </si>
  <si>
    <t>VIB</t>
  </si>
  <si>
    <t>DRI</t>
  </si>
  <si>
    <t>TV2</t>
  </si>
  <si>
    <t>ANV</t>
  </si>
  <si>
    <t>PHR</t>
  </si>
  <si>
    <t>POW</t>
  </si>
  <si>
    <t>SHB</t>
  </si>
  <si>
    <t>TTN</t>
  </si>
  <si>
    <t>BCM</t>
  </si>
  <si>
    <t>TPB</t>
  </si>
  <si>
    <t>VHC</t>
  </si>
  <si>
    <t>KDH</t>
  </si>
  <si>
    <t>VPB</t>
  </si>
  <si>
    <t>HAG</t>
  </si>
  <si>
    <t>FPT</t>
  </si>
  <si>
    <t>HDG</t>
  </si>
  <si>
    <t>DCM</t>
  </si>
  <si>
    <t>DPR</t>
  </si>
  <si>
    <t>HHV</t>
  </si>
  <si>
    <t>CII</t>
  </si>
  <si>
    <t>VRE</t>
  </si>
  <si>
    <t>KBC</t>
  </si>
  <si>
    <t>VCG</t>
  </si>
  <si>
    <t>EIB</t>
  </si>
  <si>
    <t>Add your content 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</si>
</sst>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yy"/>
    <numFmt numFmtId="165" formatCode="0.0%"/>
    <numFmt numFmtId="166" formatCode="0.0"/>
    <numFmt numFmtId="167" formatCode="mm\-yyyy"/>
    <numFmt numFmtId="168" formatCode="0.000"/>
  </numFmts>
  <fonts count="24"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  <font>
      <sz val="9"/>
      <color theme="1"/>
      <name val="Myriad Pro"/>
      <family val="2"/>
    </font>
    <font>
      <b/>
      <sz val="15"/>
      <color theme="4"/>
      <name val="Myriad Pro"/>
      <family val="2"/>
    </font>
    <font>
      <b/>
      <sz val="9"/>
      <color theme="1"/>
      <name val="Myriad Pro"/>
      <family val="2"/>
    </font>
    <font>
      <b/>
      <sz val="9"/>
      <color theme="5"/>
      <name val="Myriad Pro"/>
      <family val="2"/>
    </font>
    <font>
      <sz val="9"/>
      <color theme="0"/>
      <name val="Myriad Pro"/>
      <family val="2"/>
    </font>
    <font>
      <b/>
      <sz val="14"/>
      <color theme="4"/>
      <name val="Myriad Pro"/>
      <family val="2"/>
    </font>
    <font>
      <b/>
      <sz val="11"/>
      <color theme="1"/>
      <name val="Myriad Pro"/>
      <family val="2"/>
    </font>
    <font>
      <b/>
      <sz val="14"/>
      <color theme="1"/>
      <name val="Myriad Pro"/>
      <family val="2"/>
      <scheme val="minor"/>
    </font>
    <font>
      <b/>
      <i/>
      <sz val="11"/>
      <color theme="4"/>
      <name val="Myriad Pro"/>
      <family val="2"/>
    </font>
    <font>
      <b/>
      <sz val="24"/>
      <color theme="4"/>
      <name val="Myriad Pro"/>
      <family val="2"/>
    </font>
    <font>
      <b/>
      <sz val="10"/>
      <name val="Myriad Pro"/>
      <family val="2"/>
    </font>
    <font>
      <b/>
      <i/>
      <sz val="10"/>
      <name val="Myriad Pro"/>
      <family val="2"/>
    </font>
    <font>
      <i/>
      <sz val="14"/>
      <name val="Myriad Pro"/>
      <family val="2"/>
    </font>
    <font>
      <b/>
      <i/>
      <sz val="10"/>
      <color theme="0"/>
      <name val="Myriad Pro"/>
      <family val="2"/>
    </font>
    <font>
      <b/>
      <sz val="10"/>
      <color theme="0"/>
      <name val="Myriad Pro"/>
      <family val="2"/>
    </font>
    <font>
      <sz val="11"/>
      <color theme="0"/>
      <name val="Myriad Pro"/>
      <family val="2"/>
    </font>
    <font>
      <b/>
      <sz val="14"/>
      <name val="Myriad Pro"/>
      <family val="2"/>
    </font>
    <font>
      <b/>
      <i/>
      <sz val="11"/>
      <name val="Myriad Pro"/>
      <family val="2"/>
    </font>
    <font>
      <b/>
      <sz val="11"/>
      <color theme="1"/>
      <name val="Myriad Pro"/>
      <family val="2"/>
      <scheme val="minor"/>
    </font>
    <font>
      <sz val="11"/>
      <color theme="1"/>
      <name val="Aptos Narrow"/>
      <family val="2"/>
    </font>
    <font>
      <b/>
      <i/>
      <sz val="14"/>
      <name val="Myriad Pro"/>
      <family val="2"/>
    </font>
    <font>
      <sz val="24"/>
      <color theme="0"/>
      <name val="Myriad Pr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theme="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6" fillId="0" borderId="0" xfId="0" applyFont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12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wrapText="1"/>
    </xf>
    <xf numFmtId="166" fontId="0" fillId="0" borderId="0" xfId="0" applyNumberFormat="1"/>
    <xf numFmtId="0" fontId="16" fillId="0" borderId="2" xfId="0" applyFont="1" applyBorder="1" applyAlignment="1">
      <alignment horizontal="left" vertical="center"/>
    </xf>
    <xf numFmtId="167" fontId="0" fillId="0" borderId="0" xfId="0" applyNumberFormat="1"/>
    <xf numFmtId="0" fontId="17" fillId="0" borderId="2" xfId="0" applyFont="1" applyBorder="1"/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9" fillId="0" borderId="0" xfId="0" applyFont="1"/>
    <xf numFmtId="0" fontId="1" fillId="0" borderId="0" xfId="0" applyFont="1" applyAlignment="1">
      <alignment vertical="top" wrapText="1"/>
    </xf>
    <xf numFmtId="0" fontId="17" fillId="0" borderId="0" xfId="0" applyFont="1"/>
    <xf numFmtId="0" fontId="19" fillId="0" borderId="0" xfId="0" applyFont="1" applyAlignment="1">
      <alignment horizontal="right" vertical="top"/>
    </xf>
    <xf numFmtId="0" fontId="19" fillId="0" borderId="0" xfId="0" applyFont="1" applyAlignment="1">
      <alignment vertical="center"/>
    </xf>
    <xf numFmtId="0" fontId="21" fillId="2" borderId="0" xfId="0" applyFont="1" applyFill="1"/>
    <xf numFmtId="0" fontId="20" fillId="2" borderId="0" xfId="0" applyFont="1" applyFill="1"/>
    <xf numFmtId="0" fontId="0" fillId="2" borderId="0" xfId="0" applyFill="1" applyAlignment="1">
      <alignment readingOrder="1"/>
    </xf>
    <xf numFmtId="0" fontId="22" fillId="0" borderId="0" xfId="0" applyFont="1" applyAlignment="1">
      <alignment horizontal="right" vertical="center"/>
    </xf>
    <xf numFmtId="168" fontId="0" fillId="0" borderId="0" xfId="0" applyNumberFormat="1"/>
    <xf numFmtId="9" fontId="0" fillId="0" borderId="0" xfId="0" applyNumberFormat="1"/>
    <xf numFmtId="0" fontId="8" fillId="2" borderId="0" xfId="0" applyFont="1" applyFill="1"/>
    <xf numFmtId="0" fontId="2" fillId="2" borderId="0" xfId="0" applyFont="1" applyFill="1"/>
    <xf numFmtId="0" fontId="11" fillId="0" borderId="0" xfId="0" applyFont="1" applyAlignment="1">
      <alignment horizontal="center" vertical="center" wrapText="1"/>
    </xf>
    <xf numFmtId="0" fontId="23" fillId="3" borderId="0" xfId="0" quotePrefix="1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Portfolio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[0]!MTD_Date</c:f>
              <c:numCache>
                <c:formatCode>m/d/yyyy</c:formatCode>
                <c:ptCount val="24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46016</c:v>
                </c:pt>
                <c:pt idx="20">
                  <c:v>46017</c:v>
                </c:pt>
                <c:pt idx="21">
                  <c:v>46020</c:v>
                </c:pt>
                <c:pt idx="22">
                  <c:v>46021</c:v>
                </c:pt>
                <c:pt idx="23">
                  <c:v>46022</c:v>
                </c:pt>
              </c:numCache>
            </c:numRef>
          </c:cat>
          <c:val>
            <c:numRef>
              <c:f>[0]!MTD_Port</c:f>
              <c:numCache>
                <c:formatCode>0.0</c:formatCode>
                <c:ptCount val="24"/>
                <c:pt idx="0">
                  <c:v>100</c:v>
                </c:pt>
                <c:pt idx="1">
                  <c:v>100.63158268233403</c:v>
                </c:pt>
                <c:pt idx="2">
                  <c:v>101.54170042401198</c:v>
                </c:pt>
                <c:pt idx="3">
                  <c:v>102.41160503610311</c:v>
                </c:pt>
                <c:pt idx="4">
                  <c:v>102.73508418145583</c:v>
                </c:pt>
                <c:pt idx="5">
                  <c:v>102.97636295897669</c:v>
                </c:pt>
                <c:pt idx="6">
                  <c:v>103.71084394348873</c:v>
                </c:pt>
                <c:pt idx="7">
                  <c:v>103.32231414733381</c:v>
                </c:pt>
                <c:pt idx="8">
                  <c:v>101.65524337813943</c:v>
                </c:pt>
                <c:pt idx="9">
                  <c:v>100.46777331622305</c:v>
                </c:pt>
                <c:pt idx="10">
                  <c:v>97.392060272384825</c:v>
                </c:pt>
                <c:pt idx="11">
                  <c:v>97.340019751743057</c:v>
                </c:pt>
                <c:pt idx="12">
                  <c:v>99.301592558205556</c:v>
                </c:pt>
                <c:pt idx="13">
                  <c:v>98.975156565089094</c:v>
                </c:pt>
                <c:pt idx="14">
                  <c:v>99.171491256601172</c:v>
                </c:pt>
                <c:pt idx="15">
                  <c:v>100.78770424425929</c:v>
                </c:pt>
                <c:pt idx="16">
                  <c:v>103.55058279469424</c:v>
                </c:pt>
                <c:pt idx="17">
                  <c:v>104.79955529009634</c:v>
                </c:pt>
                <c:pt idx="18">
                  <c:v>105.4305466028776</c:v>
                </c:pt>
                <c:pt idx="19">
                  <c:v>103.06684250054701</c:v>
                </c:pt>
                <c:pt idx="20">
                  <c:v>102.2951052342119</c:v>
                </c:pt>
                <c:pt idx="21">
                  <c:v>103.77589459429092</c:v>
                </c:pt>
                <c:pt idx="22">
                  <c:v>104.48908627490405</c:v>
                </c:pt>
                <c:pt idx="23">
                  <c:v>105.52930531818639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4B-4647-908F-7E422E3A43D4}"/>
            </c:ext>
          </c:extLst>
        </c:ser>
        <c:ser>
          <c:idx val="1"/>
          <c:order val="1"/>
          <c:tx>
            <c:v>VN Index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[0]!MTD_Date</c:f>
              <c:numCache>
                <c:formatCode>m/d/yyyy</c:formatCode>
                <c:ptCount val="24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46016</c:v>
                </c:pt>
                <c:pt idx="20">
                  <c:v>46017</c:v>
                </c:pt>
                <c:pt idx="21">
                  <c:v>46020</c:v>
                </c:pt>
                <c:pt idx="22">
                  <c:v>46021</c:v>
                </c:pt>
                <c:pt idx="23">
                  <c:v>46022</c:v>
                </c:pt>
              </c:numCache>
            </c:numRef>
          </c:cat>
          <c:val>
            <c:numRef>
              <c:f>[0]!MTD_VNI</c:f>
              <c:numCache>
                <c:formatCode>0.0</c:formatCode>
                <c:ptCount val="24"/>
                <c:pt idx="0">
                  <c:v>100</c:v>
                </c:pt>
                <c:pt idx="1">
                  <c:v>101.99688371330163</c:v>
                </c:pt>
                <c:pt idx="2">
                  <c:v>101.99688371330163</c:v>
                </c:pt>
                <c:pt idx="3">
                  <c:v>101.99688371330163</c:v>
                </c:pt>
                <c:pt idx="4">
                  <c:v>114.51183877014844</c:v>
                </c:pt>
                <c:pt idx="5">
                  <c:v>128.72710151402893</c:v>
                </c:pt>
                <c:pt idx="6">
                  <c:v>127.3625032647636</c:v>
                </c:pt>
                <c:pt idx="7">
                  <c:v>121.15905562492348</c:v>
                </c:pt>
                <c:pt idx="8">
                  <c:v>123.65404600127255</c:v>
                </c:pt>
                <c:pt idx="9">
                  <c:v>118.72039839439931</c:v>
                </c:pt>
                <c:pt idx="10">
                  <c:v>112.9330370739634</c:v>
                </c:pt>
                <c:pt idx="11">
                  <c:v>108.93480166335185</c:v>
                </c:pt>
                <c:pt idx="12">
                  <c:v>108.93480166335185</c:v>
                </c:pt>
                <c:pt idx="13">
                  <c:v>110.7212314457966</c:v>
                </c:pt>
                <c:pt idx="14">
                  <c:v>109.02824625549391</c:v>
                </c:pt>
                <c:pt idx="15">
                  <c:v>109.02824625549391</c:v>
                </c:pt>
                <c:pt idx="16">
                  <c:v>108.92610763552065</c:v>
                </c:pt>
                <c:pt idx="17">
                  <c:v>112.43985304311809</c:v>
                </c:pt>
                <c:pt idx="18">
                  <c:v>112.43985304311809</c:v>
                </c:pt>
                <c:pt idx="19">
                  <c:v>117.40362622602584</c:v>
                </c:pt>
                <c:pt idx="20">
                  <c:v>123.90105977621032</c:v>
                </c:pt>
                <c:pt idx="21">
                  <c:v>128.55080174737168</c:v>
                </c:pt>
                <c:pt idx="22">
                  <c:v>121.56434513066669</c:v>
                </c:pt>
                <c:pt idx="23">
                  <c:v>130.44616722482343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94B-4647-908F-7E422E3A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643967"/>
        <c:axId val="1052644447"/>
      </c:lineChart>
      <c:catAx>
        <c:axId val="1052643967"/>
        <c:scaling>
          <c:orientation val="minMax"/>
        </c:scaling>
        <c:delete val="0"/>
        <c:axPos val="b"/>
        <c:numFmt formatCode="dd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44447"/>
        <c:crosses val="autoZero"/>
        <c:auto val="0"/>
        <c:lblAlgn val="ctr"/>
        <c:lblOffset val="100"/>
        <c:noMultiLvlLbl val="1"/>
      </c:catAx>
      <c:valAx>
        <c:axId val="1052644447"/>
        <c:scaling>
          <c:orientation val="minMax"/>
          <c:min val="90"/>
        </c:scaling>
        <c:delete val="0"/>
        <c:axPos val="l"/>
        <c:numFmt formatCode="0" sourceLinked="0"/>
        <c:majorTickMark val="out"/>
        <c:minorTickMark val="none"/>
        <c:tickLblPos val="low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7387363805909"/>
          <c:y val="0.17040995762627537"/>
          <c:w val="0.85995903543500307"/>
          <c:h val="0.72326885065550706"/>
        </c:manualLayout>
      </c:layout>
      <c:barChart>
        <c:barDir val="col"/>
        <c:grouping val="clustered"/>
        <c:varyColors val="0"/>
        <c:ser>
          <c:idx val="0"/>
          <c:order val="0"/>
          <c:tx>
            <c:v>Portfolio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[0]!Monthly_Date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[0]!Monthly_Port</c:f>
              <c:numCache>
                <c:formatCode>0.0%</c:formatCode>
                <c:ptCount val="12"/>
                <c:pt idx="0">
                  <c:v>-8.8192586465406231E-4</c:v>
                </c:pt>
                <c:pt idx="1">
                  <c:v>5.279189130495221E-2</c:v>
                </c:pt>
                <c:pt idx="2">
                  <c:v>8.8395225497617767E-3</c:v>
                </c:pt>
                <c:pt idx="3">
                  <c:v>-1.893805400411577E-2</c:v>
                </c:pt>
                <c:pt idx="4">
                  <c:v>6.4644778569136516E-2</c:v>
                </c:pt>
                <c:pt idx="5">
                  <c:v>4.9548819785889084E-2</c:v>
                </c:pt>
                <c:pt idx="6">
                  <c:v>7.701923719588627E-2</c:v>
                </c:pt>
                <c:pt idx="7">
                  <c:v>4.7960047522462704E-2</c:v>
                </c:pt>
                <c:pt idx="8">
                  <c:v>2.6323625052826819E-2</c:v>
                </c:pt>
                <c:pt idx="9">
                  <c:v>-2.8227912469665016E-2</c:v>
                </c:pt>
                <c:pt idx="10">
                  <c:v>-1.392130071203744E-2</c:v>
                </c:pt>
                <c:pt idx="11">
                  <c:v>-5.1586752512623119E-3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8-47F7-BCDF-0524F1055185}"/>
            </c:ext>
          </c:extLst>
        </c:ser>
        <c:ser>
          <c:idx val="1"/>
          <c:order val="1"/>
          <c:tx>
            <c:v>VN Index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[0]!Monthly_Date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[0]!Monthly_VNI</c:f>
              <c:numCache>
                <c:formatCode>0.0%</c:formatCode>
                <c:ptCount val="12"/>
                <c:pt idx="0">
                  <c:v>-1.3656672824010618E-3</c:v>
                </c:pt>
                <c:pt idx="1">
                  <c:v>3.1864353187621042E-2</c:v>
                </c:pt>
                <c:pt idx="2">
                  <c:v>1.1491082919654616E-3</c:v>
                </c:pt>
                <c:pt idx="3">
                  <c:v>-6.1643940437384193E-2</c:v>
                </c:pt>
                <c:pt idx="4">
                  <c:v>8.6683519530294406E-2</c:v>
                </c:pt>
                <c:pt idx="5">
                  <c:v>3.2620441242683595E-2</c:v>
                </c:pt>
                <c:pt idx="6">
                  <c:v>9.1892127580718963E-2</c:v>
                </c:pt>
                <c:pt idx="7">
                  <c:v>0.1195924180709742</c:v>
                </c:pt>
                <c:pt idx="8">
                  <c:v>-1.2192294660000824E-2</c:v>
                </c:pt>
                <c:pt idx="9">
                  <c:v>-1.3269543238851766E-2</c:v>
                </c:pt>
                <c:pt idx="10">
                  <c:v>3.1311560393986415E-2</c:v>
                </c:pt>
                <c:pt idx="11">
                  <c:v>5.5293053181863838E-2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8-47F7-BCDF-0524F105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704447"/>
        <c:axId val="1052697247"/>
      </c:barChart>
      <c:catAx>
        <c:axId val="10527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97247"/>
        <c:crosses val="autoZero"/>
        <c:auto val="1"/>
        <c:lblAlgn val="ctr"/>
        <c:lblOffset val="100"/>
        <c:noMultiLvlLbl val="1"/>
      </c:catAx>
      <c:valAx>
        <c:axId val="1052697247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04447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5667964532277"/>
          <c:y val="5.7942810404654009E-2"/>
          <c:w val="0.83213480352059677"/>
          <c:h val="0.76794837656439352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7E9E335-7DAE-4672-8044-F66F2EE016D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8304957-2C3A-47A2-8E6F-38C4F3BF60DB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948-4ECB-BCF7-DA43703EBC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1A1020-5368-41E1-BD91-0AD9D6AAC79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73BFB7E-4AB1-4B87-A457-CA135B78CECD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48-4ECB-BCF7-DA43703EBC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B7E05F1-BC90-4EFF-8F81-C3014F6F521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8FF9F5C-9F70-4A92-9993-1496FAD044AC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948-4ECB-BCF7-DA43703EBC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5E91AD-24D9-4812-A72A-D2B6273E604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46AD8919-003B-469F-B459-FBB732B41CAC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948-4ECB-BCF7-DA43703EBC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2658B1D-ACBC-467D-8353-70F71BE6FCD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389DBAD-535B-46B6-BC38-90BAA070E2EB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48-4ECB-BCF7-DA43703EB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[0]!Sta_InvHorizon</c:f>
              <c:numCache>
                <c:formatCode>General</c:formatCode>
                <c:ptCount val="5"/>
                <c:pt idx="0">
                  <c:v>9</c:v>
                </c:pt>
                <c:pt idx="1">
                  <c:v>18</c:v>
                </c:pt>
                <c:pt idx="2">
                  <c:v>30</c:v>
                </c:pt>
                <c:pt idx="3">
                  <c:v>19</c:v>
                </c:pt>
                <c:pt idx="4">
                  <c:v>27</c:v>
                </c:pt>
              </c:numCache>
            </c:numRef>
          </c:xVal>
          <c:yVal>
            <c:numRef>
              <c:f>[0]!Sta_Beta</c:f>
              <c:numCache>
                <c:formatCode>0.00</c:formatCode>
                <c:ptCount val="5"/>
                <c:pt idx="0">
                  <c:v>1.3</c:v>
                </c:pt>
                <c:pt idx="1">
                  <c:v>1.4</c:v>
                </c:pt>
                <c:pt idx="2">
                  <c:v>1.1000000000000001</c:v>
                </c:pt>
                <c:pt idx="3">
                  <c:v>1.2</c:v>
                </c:pt>
                <c:pt idx="4">
                  <c:v>0.7</c:v>
                </c:pt>
              </c:numCache>
            </c:numRef>
          </c:yVal>
          <c:bubbleSize>
            <c:numRef>
              <c:f>[0]!Sta_Return</c:f>
              <c:numCache>
                <c:formatCode>0%</c:formatCode>
                <c:ptCount val="5"/>
                <c:pt idx="0">
                  <c:v>0.17241379310344818</c:v>
                </c:pt>
                <c:pt idx="1">
                  <c:v>0.12413793103448278</c:v>
                </c:pt>
                <c:pt idx="2">
                  <c:v>0.12269938650306744</c:v>
                </c:pt>
                <c:pt idx="3">
                  <c:v>0.10476190476190483</c:v>
                </c:pt>
                <c:pt idx="4">
                  <c:v>9.6671949286846193E-2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[0]!Sta_Stock</c15:f>
                <c15:dlblRangeCache>
                  <c:ptCount val="5"/>
                  <c:pt idx="0">
                    <c:v>PET</c:v>
                  </c:pt>
                  <c:pt idx="1">
                    <c:v>FRT</c:v>
                  </c:pt>
                  <c:pt idx="2">
                    <c:v>GDA</c:v>
                  </c:pt>
                  <c:pt idx="3">
                    <c:v>BVH</c:v>
                  </c:pt>
                  <c:pt idx="4">
                    <c:v>GAS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948-4ECB-BCF7-DA43703EBC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52736127"/>
        <c:axId val="1052738527"/>
      </c:bubbleChart>
      <c:valAx>
        <c:axId val="1052736127"/>
        <c:scaling>
          <c:orientation val="minMax"/>
          <c:max val="3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Holding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38527"/>
        <c:crosses val="autoZero"/>
        <c:crossBetween val="midCat"/>
      </c:valAx>
      <c:valAx>
        <c:axId val="1052738527"/>
        <c:scaling>
          <c:orientation val="minMax"/>
          <c:max val="1.6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36127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7387363805909"/>
          <c:y val="0.17040995762627537"/>
          <c:w val="0.85995903543500307"/>
          <c:h val="0.72326885065550706"/>
        </c:manualLayout>
      </c:layout>
      <c:lineChart>
        <c:grouping val="standard"/>
        <c:varyColors val="0"/>
        <c:ser>
          <c:idx val="0"/>
          <c:order val="0"/>
          <c:tx>
            <c:v>Portfolio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[0]!YTD_Date</c:f>
              <c:strCache>
                <c:ptCount val="13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  <c:pt idx="11">
                  <c:v>2025-11</c:v>
                </c:pt>
                <c:pt idx="12">
                  <c:v>2025-12</c:v>
                </c:pt>
              </c:strCache>
            </c:strRef>
          </c:cat>
          <c:val>
            <c:numRef>
              <c:f>[0]!YTD_Port</c:f>
              <c:numCache>
                <c:formatCode>General</c:formatCode>
                <c:ptCount val="13"/>
                <c:pt idx="0">
                  <c:v>100</c:v>
                </c:pt>
                <c:pt idx="1">
                  <c:v>99.911807413534589</c:v>
                </c:pt>
                <c:pt idx="2">
                  <c:v>105.27918913049521</c:v>
                </c:pt>
                <c:pt idx="3">
                  <c:v>100.88395225497618</c:v>
                </c:pt>
                <c:pt idx="4">
                  <c:v>98.10619459958842</c:v>
                </c:pt>
                <c:pt idx="5">
                  <c:v>106.46447785691365</c:v>
                </c:pt>
                <c:pt idx="6">
                  <c:v>104.95488197858892</c:v>
                </c:pt>
                <c:pt idx="7">
                  <c:v>107.70192371958862</c:v>
                </c:pt>
                <c:pt idx="8">
                  <c:v>104.79600475224626</c:v>
                </c:pt>
                <c:pt idx="9">
                  <c:v>102.63236250528269</c:v>
                </c:pt>
                <c:pt idx="10">
                  <c:v>97.177208753033497</c:v>
                </c:pt>
                <c:pt idx="11">
                  <c:v>98.607869928796248</c:v>
                </c:pt>
                <c:pt idx="12">
                  <c:v>99.484132474873761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48-47F7-BCDF-0524F1055185}"/>
            </c:ext>
          </c:extLst>
        </c:ser>
        <c:ser>
          <c:idx val="1"/>
          <c:order val="1"/>
          <c:tx>
            <c:v>VN Index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[0]!YTD_Date</c:f>
              <c:strCache>
                <c:ptCount val="13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  <c:pt idx="11">
                  <c:v>2025-11</c:v>
                </c:pt>
                <c:pt idx="12">
                  <c:v>2025-12</c:v>
                </c:pt>
              </c:strCache>
            </c:strRef>
          </c:cat>
          <c:val>
            <c:numRef>
              <c:f>[0]!YTD_VNI</c:f>
              <c:numCache>
                <c:formatCode>General</c:formatCode>
                <c:ptCount val="13"/>
                <c:pt idx="0">
                  <c:v>100</c:v>
                </c:pt>
                <c:pt idx="1">
                  <c:v>99.863433271759888</c:v>
                </c:pt>
                <c:pt idx="2">
                  <c:v>103.18643531876211</c:v>
                </c:pt>
                <c:pt idx="3">
                  <c:v>100.11491082919655</c:v>
                </c:pt>
                <c:pt idx="4">
                  <c:v>93.835605956261574</c:v>
                </c:pt>
                <c:pt idx="5">
                  <c:v>108.66835195302944</c:v>
                </c:pt>
                <c:pt idx="6">
                  <c:v>103.26204412426836</c:v>
                </c:pt>
                <c:pt idx="7">
                  <c:v>109.1892127580719</c:v>
                </c:pt>
                <c:pt idx="8">
                  <c:v>111.95924180709741</c:v>
                </c:pt>
                <c:pt idx="9">
                  <c:v>98.780770533999913</c:v>
                </c:pt>
                <c:pt idx="10">
                  <c:v>98.673045676114825</c:v>
                </c:pt>
                <c:pt idx="11">
                  <c:v>103.13115603939865</c:v>
                </c:pt>
                <c:pt idx="12">
                  <c:v>105.52930531818639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48-47F7-BCDF-0524F105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704447"/>
        <c:axId val="1052697247"/>
      </c:lineChart>
      <c:catAx>
        <c:axId val="105270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97247"/>
        <c:crosses val="autoZero"/>
        <c:auto val="1"/>
        <c:lblAlgn val="ctr"/>
        <c:lblOffset val="100"/>
        <c:noMultiLvlLbl val="1"/>
      </c:catAx>
      <c:valAx>
        <c:axId val="1052697247"/>
        <c:scaling>
          <c:orientation val="minMax"/>
          <c:min val="8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0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49241</xdr:colOff>
      <xdr:row>8</xdr:row>
      <xdr:rowOff>53349</xdr:rowOff>
    </xdr:from>
    <xdr:to>
      <xdr:col>3</xdr:col>
      <xdr:colOff>759521</xdr:colOff>
      <xdr:row>16</xdr:row>
      <xdr:rowOff>107046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942538D-6C86-49A6-AF52-E5A3AB930490}"/>
            </a:ext>
          </a:extLst>
        </xdr:cNvPr>
        <xdr:cNvSpPr/>
      </xdr:nvSpPr>
      <xdr:spPr>
        <a:xfrm>
          <a:off x="174971" y="1440189"/>
          <a:ext cx="2234280" cy="1577697"/>
        </a:xfrm>
        <a:prstGeom prst="roundRect">
          <a:avLst>
            <a:gd name="adj" fmla="val 4601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schemeClr val="bg1">
              <a:lumMod val="65000"/>
              <a:alpha val="1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53537</xdr:colOff>
      <xdr:row>8</xdr:row>
      <xdr:rowOff>52780</xdr:rowOff>
    </xdr:from>
    <xdr:to>
      <xdr:col>4</xdr:col>
      <xdr:colOff>1817</xdr:colOff>
      <xdr:row>10</xdr:row>
      <xdr:rowOff>73270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4342EC-55E6-4C12-BDE1-B2AA5E28E93A}"/>
            </a:ext>
          </a:extLst>
        </xdr:cNvPr>
        <xdr:cNvSpPr txBox="1"/>
      </xdr:nvSpPr>
      <xdr:spPr>
        <a:xfrm>
          <a:off x="178347" y="1438832"/>
          <a:ext cx="2234280" cy="401490"/>
        </a:xfrm>
        <a:prstGeom prst="roundRect">
          <a:avLst>
            <a:gd name="adj" fmla="val 14550"/>
          </a:avLst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300" b="1" kern="1200">
              <a:solidFill>
                <a:schemeClr val="bg1"/>
              </a:solidFill>
              <a:latin typeface="Myriad Pro" panose="020B0503030403020204" pitchFamily="34" charset="0"/>
            </a:rPr>
            <a:t>Return</a:t>
          </a:r>
        </a:p>
      </xdr:txBody>
    </xdr:sp>
    <xdr:clientData/>
  </xdr:twoCellAnchor>
  <xdr:twoCellAnchor>
    <xdr:from>
      <xdr:col>1</xdr:col>
      <xdr:colOff>29818</xdr:colOff>
      <xdr:row>10</xdr:row>
      <xdr:rowOff>65950</xdr:rowOff>
    </xdr:from>
    <xdr:to>
      <xdr:col>3</xdr:col>
      <xdr:colOff>728870</xdr:colOff>
      <xdr:row>14</xdr:row>
      <xdr:rowOff>167827</xdr:rowOff>
    </xdr:to>
    <xdr:sp macro="" textlink="$E$5">
      <xdr:nvSpPr>
        <xdr:cNvPr id="7" name="TextBox 6">
          <a:extLst>
            <a:ext uri="{FF2B5EF4-FFF2-40B4-BE49-F238E27FC236}">
              <a16:creationId xmlns:a16="http://schemas.microsoft.com/office/drawing/2014/main" id="{14E417B5-F2A0-49C0-8CBC-E780328CE9E4}"/>
            </a:ext>
          </a:extLst>
        </xdr:cNvPr>
        <xdr:cNvSpPr txBox="1"/>
      </xdr:nvSpPr>
      <xdr:spPr>
        <a:xfrm>
          <a:off x="153643" y="1828075"/>
          <a:ext cx="2223052" cy="863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82C691F-C675-450B-B270-53F7675437CD}" type="TxLink">
            <a:rPr lang="en-US" sz="4500" b="1" i="0" u="none" strike="noStrike">
              <a:solidFill>
                <a:schemeClr val="accent1">
                  <a:lumMod val="50000"/>
                </a:schemeClr>
              </a:solidFill>
              <a:latin typeface="Myriad Pro"/>
            </a:rPr>
            <a:pPr algn="ctr"/>
            <a:t>-0.5%</a:t>
          </a:fld>
          <a:endParaRPr lang="en-US" sz="45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107674</xdr:colOff>
      <xdr:row>8</xdr:row>
      <xdr:rowOff>52780</xdr:rowOff>
    </xdr:from>
    <xdr:to>
      <xdr:col>6</xdr:col>
      <xdr:colOff>20411</xdr:colOff>
      <xdr:row>14</xdr:row>
      <xdr:rowOff>151279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74C5A37-9D95-4AC3-A646-8F0A39EC7ECB}"/>
            </a:ext>
          </a:extLst>
        </xdr:cNvPr>
        <xdr:cNvGrpSpPr/>
      </xdr:nvGrpSpPr>
      <xdr:grpSpPr>
        <a:xfrm>
          <a:off x="2514901" y="1429576"/>
          <a:ext cx="1436737" cy="1241499"/>
          <a:chOff x="151500" y="1190457"/>
          <a:chExt cx="1223413" cy="1198629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709C93D1-798F-9B00-0B22-38FBEEE0967E}"/>
              </a:ext>
            </a:extLst>
          </xdr:cNvPr>
          <xdr:cNvSpPr/>
        </xdr:nvSpPr>
        <xdr:spPr>
          <a:xfrm>
            <a:off x="151500" y="1190458"/>
            <a:ext cx="1223413" cy="1198628"/>
          </a:xfrm>
          <a:prstGeom prst="roundRect">
            <a:avLst>
              <a:gd name="adj" fmla="val 7781"/>
            </a:avLst>
          </a:prstGeom>
          <a:solidFill>
            <a:schemeClr val="bg1"/>
          </a:solidFill>
          <a:ln>
            <a:noFill/>
          </a:ln>
          <a:effectLst>
            <a:outerShdw blurRad="63500" sx="102000" sy="102000" algn="ctr" rotWithShape="0">
              <a:schemeClr val="bg1">
                <a:lumMod val="65000"/>
                <a:alpha val="1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457D918-F9B5-FBAB-A137-9631C2C81BC1}"/>
              </a:ext>
            </a:extLst>
          </xdr:cNvPr>
          <xdr:cNvSpPr txBox="1"/>
        </xdr:nvSpPr>
        <xdr:spPr>
          <a:xfrm>
            <a:off x="151500" y="1190457"/>
            <a:ext cx="1223413" cy="278587"/>
          </a:xfrm>
          <a:prstGeom prst="roundRect">
            <a:avLst>
              <a:gd name="adj" fmla="val 14550"/>
            </a:avLst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kern="1200">
                <a:solidFill>
                  <a:schemeClr val="bg1"/>
                </a:solidFill>
                <a:latin typeface="Myriad Pro" panose="020B0503030403020204" pitchFamily="34" charset="0"/>
              </a:rPr>
              <a:t>Take</a:t>
            </a:r>
            <a:r>
              <a:rPr lang="en-US" sz="1200" b="1" kern="1200" baseline="0">
                <a:solidFill>
                  <a:schemeClr val="bg1"/>
                </a:solidFill>
                <a:latin typeface="Myriad Pro" panose="020B0503030403020204" pitchFamily="34" charset="0"/>
              </a:rPr>
              <a:t> Profit</a:t>
            </a:r>
            <a:endParaRPr lang="en-US" sz="1200" b="1" kern="1200">
              <a:solidFill>
                <a:schemeClr val="bg1"/>
              </a:solidFill>
              <a:latin typeface="Myriad Pro" panose="020B0503030403020204" pitchFamily="34" charset="0"/>
            </a:endParaRPr>
          </a:p>
        </xdr:txBody>
      </xdr:sp>
      <xdr:sp macro="" textlink="$G$5">
        <xdr:nvSpPr>
          <xdr:cNvPr id="16" name="TextBox 15">
            <a:extLst>
              <a:ext uri="{FF2B5EF4-FFF2-40B4-BE49-F238E27FC236}">
                <a16:creationId xmlns:a16="http://schemas.microsoft.com/office/drawing/2014/main" id="{55DADA79-43C0-EE1A-1273-CE2595C6CB87}"/>
              </a:ext>
            </a:extLst>
          </xdr:cNvPr>
          <xdr:cNvSpPr txBox="1"/>
        </xdr:nvSpPr>
        <xdr:spPr>
          <a:xfrm>
            <a:off x="182217" y="1688484"/>
            <a:ext cx="1143000" cy="347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7DEC62C-2920-4AEA-B878-B8D023394C7B}" type="TxLink">
              <a:rPr lang="en-US" sz="3000" b="1" i="0" u="none" strike="noStrike">
                <a:solidFill>
                  <a:schemeClr val="accent1"/>
                </a:solidFill>
                <a:latin typeface="Myriad Pro"/>
              </a:rPr>
              <a:pPr algn="ctr"/>
              <a:t>19</a:t>
            </a:fld>
            <a:endParaRPr lang="en-US" sz="30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</xdr:col>
      <xdr:colOff>114300</xdr:colOff>
      <xdr:row>14</xdr:row>
      <xdr:rowOff>136688</xdr:rowOff>
    </xdr:from>
    <xdr:to>
      <xdr:col>3</xdr:col>
      <xdr:colOff>648274</xdr:colOff>
      <xdr:row>14</xdr:row>
      <xdr:rowOff>136688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520C787-0D62-4031-B08A-FF0920B63DAE}"/>
            </a:ext>
          </a:extLst>
        </xdr:cNvPr>
        <xdr:cNvCxnSpPr/>
      </xdr:nvCxnSpPr>
      <xdr:spPr>
        <a:xfrm>
          <a:off x="239110" y="2665740"/>
          <a:ext cx="2057974" cy="0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212911</xdr:colOff>
      <xdr:row>18</xdr:row>
      <xdr:rowOff>119157</xdr:rowOff>
    </xdr:from>
    <xdr:to>
      <xdr:col>3</xdr:col>
      <xdr:colOff>756207</xdr:colOff>
      <xdr:row>21</xdr:row>
      <xdr:rowOff>98393</xdr:rowOff>
    </xdr:to>
    <xdr:sp macro="" textlink="$J$4">
      <xdr:nvSpPr>
        <xdr:cNvPr id="24" name="TextBox 23">
          <a:extLst>
            <a:ext uri="{FF2B5EF4-FFF2-40B4-BE49-F238E27FC236}">
              <a16:creationId xmlns:a16="http://schemas.microsoft.com/office/drawing/2014/main" id="{6ED5E344-E8CC-4832-ABFD-FA071560516D}"/>
            </a:ext>
          </a:extLst>
        </xdr:cNvPr>
        <xdr:cNvSpPr txBox="1"/>
      </xdr:nvSpPr>
      <xdr:spPr>
        <a:xfrm>
          <a:off x="1099721" y="3410209"/>
          <a:ext cx="1305296" cy="511322"/>
        </a:xfrm>
        <a:prstGeom prst="roundRect">
          <a:avLst>
            <a:gd name="adj" fmla="val 14550"/>
          </a:avLst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FC57F21-7E20-48F4-8E3B-E3616AF599B9}" type="TxLink">
            <a:rPr lang="en-US" sz="2300" b="1" i="0" u="none" strike="noStrike" kern="1200">
              <a:solidFill>
                <a:schemeClr val="bg1"/>
              </a:solidFill>
              <a:latin typeface="Myriad Pro"/>
            </a:rPr>
            <a:pPr algn="ctr"/>
            <a:t>+17.2%</a:t>
          </a:fld>
          <a:endParaRPr lang="en-US" sz="2300" b="1" i="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149678</xdr:rowOff>
    </xdr:from>
    <xdr:to>
      <xdr:col>6</xdr:col>
      <xdr:colOff>3048</xdr:colOff>
      <xdr:row>37</xdr:row>
      <xdr:rowOff>32765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56A1F-6AEF-4D21-B8FF-5C3375461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38</xdr:row>
      <xdr:rowOff>163286</xdr:rowOff>
    </xdr:from>
    <xdr:to>
      <xdr:col>12</xdr:col>
      <xdr:colOff>3048</xdr:colOff>
      <xdr:row>51</xdr:row>
      <xdr:rowOff>59981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8D96761-309D-41B7-887A-9FA78BEC8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149678</xdr:rowOff>
    </xdr:from>
    <xdr:to>
      <xdr:col>12</xdr:col>
      <xdr:colOff>3048</xdr:colOff>
      <xdr:row>37</xdr:row>
      <xdr:rowOff>25561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91ED12C-E21A-4BDF-B0C9-2A1D9CEE8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173935</xdr:colOff>
      <xdr:row>14</xdr:row>
      <xdr:rowOff>163463</xdr:rowOff>
    </xdr:from>
    <xdr:to>
      <xdr:col>3</xdr:col>
      <xdr:colOff>539148</xdr:colOff>
      <xdr:row>16</xdr:row>
      <xdr:rowOff>38564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9369B5A8-D8B9-6AC2-8E10-38256BCE35C8}"/>
            </a:ext>
          </a:extLst>
        </xdr:cNvPr>
        <xdr:cNvGrpSpPr/>
      </xdr:nvGrpSpPr>
      <xdr:grpSpPr>
        <a:xfrm>
          <a:off x="295162" y="2683259"/>
          <a:ext cx="1889213" cy="256101"/>
          <a:chOff x="185065" y="2491861"/>
          <a:chExt cx="1889213" cy="256101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125DCD5-A802-4356-AF8B-B44CB6664254}"/>
              </a:ext>
            </a:extLst>
          </xdr:cNvPr>
          <xdr:cNvSpPr txBox="1"/>
        </xdr:nvSpPr>
        <xdr:spPr>
          <a:xfrm>
            <a:off x="185065" y="2491861"/>
            <a:ext cx="1445833" cy="256101"/>
          </a:xfrm>
          <a:prstGeom prst="roundRect">
            <a:avLst>
              <a:gd name="adj" fmla="val 14550"/>
            </a:avLst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 kern="1200">
                <a:solidFill>
                  <a:schemeClr val="bg1">
                    <a:lumMod val="50000"/>
                  </a:schemeClr>
                </a:solidFill>
                <a:latin typeface="Myriad Pro" panose="020B0503030403020204" pitchFamily="34" charset="0"/>
              </a:rPr>
              <a:t>VN-INDEX</a:t>
            </a:r>
          </a:p>
        </xdr:txBody>
      </xdr:sp>
      <xdr:sp macro="" textlink="$G$4">
        <xdr:nvSpPr>
          <xdr:cNvPr id="29" name="TextBox 28">
            <a:extLst>
              <a:ext uri="{FF2B5EF4-FFF2-40B4-BE49-F238E27FC236}">
                <a16:creationId xmlns:a16="http://schemas.microsoft.com/office/drawing/2014/main" id="{1E65C073-4E83-B231-11B9-31E2B4BE67D3}"/>
              </a:ext>
            </a:extLst>
          </xdr:cNvPr>
          <xdr:cNvSpPr txBox="1"/>
        </xdr:nvSpPr>
        <xdr:spPr>
          <a:xfrm>
            <a:off x="1152611" y="2491861"/>
            <a:ext cx="921667" cy="256101"/>
          </a:xfrm>
          <a:prstGeom prst="roundRect">
            <a:avLst>
              <a:gd name="adj" fmla="val 14550"/>
            </a:avLst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420B135-F7D2-4893-9704-89B7A98E6F46}" type="TxLink">
              <a:rPr lang="en-US" sz="1400" b="1" i="0" u="none" strike="noStrike" kern="1200">
                <a:solidFill>
                  <a:schemeClr val="bg1">
                    <a:lumMod val="50000"/>
                  </a:schemeClr>
                </a:solidFill>
                <a:latin typeface="Myriad Pro"/>
              </a:rPr>
              <a:pPr algn="ctr"/>
              <a:t>+5.5%</a:t>
            </a:fld>
            <a:endParaRPr lang="en-US" sz="2000" b="1" kern="1200">
              <a:solidFill>
                <a:schemeClr val="bg1">
                  <a:lumMod val="50000"/>
                </a:schemeClr>
              </a:solidFill>
              <a:latin typeface="Myriad Pro" panose="020B0503030403020204" pitchFamily="34" charset="0"/>
            </a:endParaRPr>
          </a:p>
        </xdr:txBody>
      </xdr:sp>
    </xdr:grpSp>
    <xdr:clientData/>
  </xdr:twoCellAnchor>
  <xdr:twoCellAnchor>
    <xdr:from>
      <xdr:col>1</xdr:col>
      <xdr:colOff>33132</xdr:colOff>
      <xdr:row>18</xdr:row>
      <xdr:rowOff>119157</xdr:rowOff>
    </xdr:from>
    <xdr:to>
      <xdr:col>2</xdr:col>
      <xdr:colOff>156882</xdr:colOff>
      <xdr:row>21</xdr:row>
      <xdr:rowOff>98393</xdr:rowOff>
    </xdr:to>
    <xdr:sp macro="" textlink="monthly_sta!B2">
      <xdr:nvSpPr>
        <xdr:cNvPr id="23" name="TextBox 22">
          <a:extLst>
            <a:ext uri="{FF2B5EF4-FFF2-40B4-BE49-F238E27FC236}">
              <a16:creationId xmlns:a16="http://schemas.microsoft.com/office/drawing/2014/main" id="{062CED7C-1FB9-4DB2-BFBA-8A227893F1A0}"/>
            </a:ext>
          </a:extLst>
        </xdr:cNvPr>
        <xdr:cNvSpPr txBox="1"/>
      </xdr:nvSpPr>
      <xdr:spPr>
        <a:xfrm>
          <a:off x="156397" y="3413686"/>
          <a:ext cx="885750" cy="550736"/>
        </a:xfrm>
        <a:prstGeom prst="roundRect">
          <a:avLst>
            <a:gd name="adj" fmla="val 14550"/>
          </a:avLst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D5FD38D-0748-4217-A67F-67CB3B2A3C6A}" type="TxLink">
            <a:rPr lang="en-US" sz="2000" b="1" i="0" u="none" strike="noStrike" kern="1200">
              <a:solidFill>
                <a:schemeClr val="bg1"/>
              </a:solidFill>
              <a:latin typeface="Myriad Pro"/>
            </a:rPr>
            <a:pPr algn="ctr"/>
            <a:t>PET</a:t>
          </a:fld>
          <a:endParaRPr lang="en-US" sz="2000" b="1" kern="1200">
            <a:solidFill>
              <a:schemeClr val="bg1"/>
            </a:solidFill>
            <a:latin typeface="Myriad Pro" panose="020B0503030403020204" pitchFamily="34" charset="0"/>
          </a:endParaRPr>
        </a:p>
      </xdr:txBody>
    </xdr:sp>
    <xdr:clientData/>
  </xdr:twoCellAnchor>
  <xdr:twoCellAnchor>
    <xdr:from>
      <xdr:col>1</xdr:col>
      <xdr:colOff>163286</xdr:colOff>
      <xdr:row>52</xdr:row>
      <xdr:rowOff>23811</xdr:rowOff>
    </xdr:from>
    <xdr:to>
      <xdr:col>11</xdr:col>
      <xdr:colOff>612321</xdr:colOff>
      <xdr:row>54</xdr:row>
      <xdr:rowOff>81643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984D3B3-F5E3-9E2F-4F38-4BB642444474}"/>
            </a:ext>
          </a:extLst>
        </xdr:cNvPr>
        <xdr:cNvSpPr txBox="1"/>
      </xdr:nvSpPr>
      <xdr:spPr>
        <a:xfrm>
          <a:off x="285750" y="9786937"/>
          <a:ext cx="7429500" cy="438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1">
              <a:solidFill>
                <a:sysClr val="windowText" lastClr="000000"/>
              </a:solidFill>
            </a:rPr>
            <a:t>This is a fully automated performance report built in Python</a:t>
          </a:r>
          <a:endParaRPr lang="en-US" sz="1200" b="1" i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16</xdr:row>
      <xdr:rowOff>181975</xdr:rowOff>
    </xdr:from>
    <xdr:to>
      <xdr:col>5</xdr:col>
      <xdr:colOff>561975</xdr:colOff>
      <xdr:row>18</xdr:row>
      <xdr:rowOff>88189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A7D230-6DA0-0E2F-67FF-9D8891CA45C6}"/>
            </a:ext>
          </a:extLst>
        </xdr:cNvPr>
        <xdr:cNvSpPr txBox="1"/>
      </xdr:nvSpPr>
      <xdr:spPr>
        <a:xfrm>
          <a:off x="124558" y="3090763"/>
          <a:ext cx="3609975" cy="287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 b="1" i="0"/>
            <a:t>(*) </a:t>
          </a:r>
          <a:r>
            <a:rPr lang="en-US" sz="1100" b="1" i="0"/>
            <a:t>Outstanding stock:</a:t>
          </a:r>
          <a:endParaRPr lang="en-US" sz="1100" b="1" i="0" u="sng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0</xdr:colOff>
      <xdr:row>38</xdr:row>
      <xdr:rowOff>163286</xdr:rowOff>
    </xdr:from>
    <xdr:to>
      <xdr:col>6</xdr:col>
      <xdr:colOff>14254</xdr:colOff>
      <xdr:row>51</xdr:row>
      <xdr:rowOff>59981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E26CA5E-19F1-8726-D775-FB946575A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107674</xdr:colOff>
      <xdr:row>15</xdr:row>
      <xdr:rowOff>108810</xdr:rowOff>
    </xdr:from>
    <xdr:to>
      <xdr:col>6</xdr:col>
      <xdr:colOff>20411</xdr:colOff>
      <xdr:row>22</xdr:row>
      <xdr:rowOff>16809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DA0933FB-8793-7BFD-6B84-3268AF5C6C29}"/>
            </a:ext>
          </a:extLst>
        </xdr:cNvPr>
        <xdr:cNvGrpSpPr/>
      </xdr:nvGrpSpPr>
      <xdr:grpSpPr>
        <a:xfrm>
          <a:off x="2514901" y="2819106"/>
          <a:ext cx="1436737" cy="1241499"/>
          <a:chOff x="151500" y="1190457"/>
          <a:chExt cx="1223413" cy="1198629"/>
        </a:xfrm>
      </xdr:grpSpPr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3347AD16-0608-2211-27B0-A4F0B6E60243}"/>
              </a:ext>
            </a:extLst>
          </xdr:cNvPr>
          <xdr:cNvSpPr/>
        </xdr:nvSpPr>
        <xdr:spPr>
          <a:xfrm>
            <a:off x="151500" y="1190458"/>
            <a:ext cx="1223413" cy="1198628"/>
          </a:xfrm>
          <a:prstGeom prst="roundRect">
            <a:avLst>
              <a:gd name="adj" fmla="val 7781"/>
            </a:avLst>
          </a:prstGeom>
          <a:solidFill>
            <a:schemeClr val="bg1"/>
          </a:solidFill>
          <a:ln>
            <a:noFill/>
          </a:ln>
          <a:effectLst>
            <a:outerShdw blurRad="63500" sx="102000" sy="102000" algn="ctr" rotWithShape="0">
              <a:schemeClr val="bg1">
                <a:lumMod val="65000"/>
                <a:alpha val="1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C20070EB-603C-546B-11B6-792F40B1041E}"/>
              </a:ext>
            </a:extLst>
          </xdr:cNvPr>
          <xdr:cNvSpPr txBox="1"/>
        </xdr:nvSpPr>
        <xdr:spPr>
          <a:xfrm>
            <a:off x="151500" y="1190457"/>
            <a:ext cx="1223413" cy="278587"/>
          </a:xfrm>
          <a:prstGeom prst="roundRect">
            <a:avLst>
              <a:gd name="adj" fmla="val 14550"/>
            </a:avLst>
          </a:prstGeom>
          <a:solidFill>
            <a:schemeClr val="tx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kern="1200">
                <a:solidFill>
                  <a:schemeClr val="bg1"/>
                </a:solidFill>
                <a:latin typeface="Myriad Pro" panose="020B0503030403020204" pitchFamily="34" charset="0"/>
              </a:rPr>
              <a:t>Cutloss</a:t>
            </a:r>
          </a:p>
        </xdr:txBody>
      </xdr:sp>
      <xdr:sp macro="" textlink="$G$6">
        <xdr:nvSpPr>
          <xdr:cNvPr id="39" name="TextBox 38">
            <a:extLst>
              <a:ext uri="{FF2B5EF4-FFF2-40B4-BE49-F238E27FC236}">
                <a16:creationId xmlns:a16="http://schemas.microsoft.com/office/drawing/2014/main" id="{D7FAE46B-DAF6-30F8-BAE4-01D3CFF9A553}"/>
              </a:ext>
            </a:extLst>
          </xdr:cNvPr>
          <xdr:cNvSpPr txBox="1"/>
        </xdr:nvSpPr>
        <xdr:spPr>
          <a:xfrm>
            <a:off x="182217" y="1688484"/>
            <a:ext cx="1143000" cy="347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5127DF6-FBB3-4C68-ABA8-D73F91A41AE3}" type="TxLink">
              <a:rPr lang="en-US" sz="3000" b="1" i="0" u="none" strike="noStrike">
                <a:solidFill>
                  <a:schemeClr val="bg1">
                    <a:lumMod val="50000"/>
                  </a:schemeClr>
                </a:solidFill>
                <a:latin typeface="Myriad Pro"/>
              </a:rPr>
              <a:pPr algn="ctr"/>
              <a:t>37</a:t>
            </a:fld>
            <a:endParaRPr lang="en-US" sz="3000" b="1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1</xdr:row>
      <xdr:rowOff>0</xdr:rowOff>
    </xdr:from>
    <xdr:to>
      <xdr:col>11</xdr:col>
      <xdr:colOff>449035</xdr:colOff>
      <xdr:row>3</xdr:row>
      <xdr:rowOff>57832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53BD3F4-E5BE-4588-9F6D-932AF496546D}"/>
            </a:ext>
          </a:extLst>
        </xdr:cNvPr>
        <xdr:cNvSpPr txBox="1"/>
      </xdr:nvSpPr>
      <xdr:spPr>
        <a:xfrm>
          <a:off x="121227" y="103909"/>
          <a:ext cx="7428263" cy="438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0" b="1" i="0">
              <a:solidFill>
                <a:schemeClr val="accent1"/>
              </a:solidFill>
            </a:rPr>
            <a:t>PORTFOLIO</a:t>
          </a:r>
          <a:r>
            <a:rPr lang="en-US" sz="3000" b="1" i="0" baseline="0">
              <a:solidFill>
                <a:schemeClr val="accent1"/>
              </a:solidFill>
            </a:rPr>
            <a:t> PERFORMANCE REPORT</a:t>
          </a:r>
          <a:endParaRPr lang="en-US" sz="3000" b="1" i="0" u="sng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VDSC_Theme">
  <a:themeElements>
    <a:clrScheme name="Custom 1">
      <a:dk1>
        <a:sysClr val="windowText" lastClr="000000"/>
      </a:dk1>
      <a:lt1>
        <a:sysClr val="window" lastClr="FFFFFF"/>
      </a:lt1>
      <a:dk2>
        <a:srgbClr val="A5A5A5"/>
      </a:dk2>
      <a:lt2>
        <a:srgbClr val="282828"/>
      </a:lt2>
      <a:accent1>
        <a:srgbClr val="ED342E"/>
      </a:accent1>
      <a:accent2>
        <a:srgbClr val="DCAB27"/>
      </a:accent2>
      <a:accent3>
        <a:srgbClr val="01A54E"/>
      </a:accent3>
      <a:accent4>
        <a:srgbClr val="F48581"/>
      </a:accent4>
      <a:accent5>
        <a:srgbClr val="EDE597"/>
      </a:accent5>
      <a:accent6>
        <a:srgbClr val="7F5A3D"/>
      </a:accent6>
      <a:hlink>
        <a:srgbClr val="7030A0"/>
      </a:hlink>
      <a:folHlink>
        <a:srgbClr val="00B0F0"/>
      </a:folHlink>
    </a:clrScheme>
    <a:fontScheme name="VDSC">
      <a:majorFont>
        <a:latin typeface="Myriad Pro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52BC-E336-487B-B888-8FCAF83DEFDE}">
  <sheetPr codeName="Sheet1"/>
  <dimension ref="A1:O60"/>
  <sheetViews>
    <sheetView showGridLines="0" tabSelected="1" zoomScale="55" zoomScaleNormal="55" workbookViewId="0">
      <selection activeCell="R24" sqref="R24"/>
    </sheetView>
  </sheetViews>
  <sheetFormatPr defaultRowHeight="13.5"/>
  <cols>
    <col min="1" max="1" width="1.625" style="1" customWidth="1"/>
    <col min="2" max="6" width="10" style="1" customWidth="1"/>
    <col min="7" max="7" width="1.625" style="1" customWidth="1"/>
    <col min="8" max="11" width="10" style="1" customWidth="1"/>
    <col min="12" max="12" width="10.125" style="1" customWidth="1"/>
    <col min="13" max="13" width="1.625" style="1" customWidth="1"/>
    <col min="14" max="16384" width="9" style="2"/>
  </cols>
  <sheetData>
    <row r="1" spans="1:15" ht="8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3"/>
    </row>
    <row r="2" spans="1:15" ht="15" customHeight="1">
      <c r="A2" s="3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3"/>
    </row>
    <row r="3" spans="1:15" ht="15" customHeight="1">
      <c r="A3" s="3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3"/>
    </row>
    <row r="4" spans="1:15" ht="15" customHeight="1">
      <c r="A4" s="3"/>
      <c r="B4" s="27"/>
      <c r="C4" s="28"/>
      <c r="D4" s="28"/>
      <c r="E4" s="28"/>
      <c r="F4" s="29"/>
      <c r="G4" s="29" t="str">
        <f ca="1">TEXT(monthly_card!$C$2, "+0.0%")</f>
        <v>+5.5%</v>
      </c>
      <c r="H4" s="28"/>
      <c r="I4" s="30"/>
      <c r="J4" s="31" t="str">
        <f>TEXT(monthly_sta!O2, "+0.0%")</f>
        <v>+17.2%</v>
      </c>
      <c r="K4" s="32"/>
      <c r="L4" s="33"/>
      <c r="M4" s="3"/>
    </row>
    <row r="5" spans="1:15" ht="17.25">
      <c r="A5" s="3"/>
      <c r="B5" s="28"/>
      <c r="C5" s="28"/>
      <c r="D5" s="28"/>
      <c r="E5" s="29" t="str">
        <f ca="1">TEXT(monthly_card!$B$2, "0.0%")</f>
        <v>-0.5%</v>
      </c>
      <c r="F5" s="29">
        <f>monthly_card!$E$2</f>
        <v>56</v>
      </c>
      <c r="G5" s="29">
        <f>monthly_card!$F$2</f>
        <v>19</v>
      </c>
      <c r="H5" s="29">
        <f>monthly_card!$F$2</f>
        <v>19</v>
      </c>
      <c r="I5" s="38">
        <f ca="1">monthly_card!$A$2</f>
        <v>45992</v>
      </c>
      <c r="J5" s="32"/>
      <c r="K5" s="32"/>
      <c r="L5" s="44" t="str">
        <f ca="1">TEXT(I6,"mmm-yyyy")</f>
        <v>Dec-2025</v>
      </c>
      <c r="M5" s="3"/>
    </row>
    <row r="6" spans="1:15" ht="8.1" customHeight="1" thickBot="1">
      <c r="A6" s="3"/>
      <c r="B6" s="13"/>
      <c r="C6" s="13"/>
      <c r="D6" s="13"/>
      <c r="E6" s="24" t="str">
        <f ca="1">TEXT(monthly_card!$B$2, "+0.0%")</f>
        <v>-+0.5%</v>
      </c>
      <c r="F6" s="24">
        <f>monthly_card!$E$2</f>
        <v>56</v>
      </c>
      <c r="G6" s="24">
        <f>monthly_card!$G$2</f>
        <v>37</v>
      </c>
      <c r="H6" s="24">
        <f>monthly_card!$G$2</f>
        <v>37</v>
      </c>
      <c r="I6" s="26">
        <f ca="1">monthly_card!$A$2</f>
        <v>45992</v>
      </c>
      <c r="J6" s="15"/>
      <c r="K6" s="15"/>
      <c r="L6" s="15"/>
      <c r="M6" s="3"/>
    </row>
    <row r="7" spans="1:15" ht="8.1" customHeight="1" thickTop="1">
      <c r="A7" s="3"/>
      <c r="B7" s="34"/>
      <c r="C7" s="3"/>
      <c r="D7" s="3"/>
      <c r="E7" s="3"/>
      <c r="F7" s="3"/>
      <c r="G7" s="3"/>
      <c r="H7" s="37"/>
      <c r="I7" s="37"/>
      <c r="J7" s="37"/>
      <c r="K7" s="37"/>
      <c r="L7" s="37"/>
      <c r="M7" s="3"/>
    </row>
    <row r="8" spans="1:15" ht="21.95" customHeight="1">
      <c r="A8" s="3"/>
      <c r="B8" s="34" t="str">
        <f ca="1" xml:space="preserve"> "Figure 01: Performance in " &amp; $L$5</f>
        <v>Figure 01: Performance in Dec-2025</v>
      </c>
      <c r="C8" s="3"/>
      <c r="D8" s="3"/>
      <c r="E8" s="3"/>
      <c r="F8" s="3"/>
      <c r="G8" s="3"/>
      <c r="H8" s="37"/>
      <c r="I8" s="37"/>
      <c r="J8" s="37"/>
      <c r="K8" s="37"/>
      <c r="L8" s="37"/>
      <c r="M8" s="3"/>
    </row>
    <row r="9" spans="1:15" ht="15" customHeight="1">
      <c r="A9" s="3"/>
      <c r="B9" s="3"/>
      <c r="C9" s="3"/>
      <c r="D9" s="3"/>
      <c r="E9" s="3"/>
      <c r="F9" s="3"/>
      <c r="G9" s="3"/>
      <c r="H9" s="50" t="s">
        <v>85</v>
      </c>
      <c r="I9" s="51"/>
      <c r="J9" s="51"/>
      <c r="K9" s="51"/>
      <c r="L9" s="51"/>
      <c r="M9" s="3"/>
      <c r="O9" s="42"/>
    </row>
    <row r="10" spans="1:15" ht="15" customHeight="1">
      <c r="A10" s="3"/>
      <c r="B10" s="3"/>
      <c r="C10" s="3"/>
      <c r="D10" s="3"/>
      <c r="E10" s="3"/>
      <c r="F10" s="3"/>
      <c r="G10" s="3"/>
      <c r="H10" s="51"/>
      <c r="I10" s="51"/>
      <c r="J10" s="51"/>
      <c r="K10" s="51"/>
      <c r="L10" s="51"/>
      <c r="M10" s="3"/>
    </row>
    <row r="11" spans="1:15" ht="15" customHeight="1">
      <c r="A11" s="3"/>
      <c r="B11" s="3"/>
      <c r="C11" s="3"/>
      <c r="D11" s="3"/>
      <c r="E11" s="3"/>
      <c r="F11" s="3"/>
      <c r="G11" s="3"/>
      <c r="H11" s="51"/>
      <c r="I11" s="51"/>
      <c r="J11" s="51"/>
      <c r="K11" s="51"/>
      <c r="L11" s="51"/>
      <c r="M11" s="3"/>
    </row>
    <row r="12" spans="1:15" ht="15" customHeight="1">
      <c r="A12" s="3"/>
      <c r="B12" s="3"/>
      <c r="C12" s="3"/>
      <c r="D12" s="3"/>
      <c r="E12" s="3"/>
      <c r="F12" s="3"/>
      <c r="G12" s="3"/>
      <c r="H12" s="51"/>
      <c r="I12" s="51"/>
      <c r="J12" s="51"/>
      <c r="K12" s="51"/>
      <c r="L12" s="51"/>
      <c r="M12" s="3"/>
      <c r="O12" s="41"/>
    </row>
    <row r="13" spans="1:15" ht="15" customHeight="1">
      <c r="A13" s="3"/>
      <c r="B13" s="3"/>
      <c r="C13" s="3"/>
      <c r="D13" s="3"/>
      <c r="E13" s="3"/>
      <c r="F13" s="3"/>
      <c r="G13" s="3"/>
      <c r="H13" s="51"/>
      <c r="I13" s="51"/>
      <c r="J13" s="51"/>
      <c r="K13" s="51"/>
      <c r="L13" s="51"/>
      <c r="M13" s="3"/>
    </row>
    <row r="14" spans="1:15" ht="15" customHeight="1">
      <c r="A14" s="3"/>
      <c r="B14" s="3"/>
      <c r="C14" s="3"/>
      <c r="D14" s="3"/>
      <c r="E14" s="3"/>
      <c r="F14" s="3"/>
      <c r="G14" s="3"/>
      <c r="H14" s="51"/>
      <c r="I14" s="51"/>
      <c r="J14" s="51"/>
      <c r="K14" s="51"/>
      <c r="L14" s="51"/>
      <c r="M14" s="3"/>
    </row>
    <row r="15" spans="1:15" ht="15" customHeight="1">
      <c r="A15" s="3"/>
      <c r="B15" s="12"/>
      <c r="C15" s="3"/>
      <c r="D15" s="3"/>
      <c r="E15" s="3"/>
      <c r="F15" s="3"/>
      <c r="G15" s="3"/>
      <c r="H15" s="51"/>
      <c r="I15" s="51"/>
      <c r="J15" s="51"/>
      <c r="K15" s="51"/>
      <c r="L15" s="51"/>
      <c r="M15" s="3"/>
    </row>
    <row r="16" spans="1:15" ht="15" customHeight="1">
      <c r="A16" s="3"/>
      <c r="B16" s="35"/>
      <c r="C16" s="3"/>
      <c r="D16" s="3"/>
      <c r="E16" s="3"/>
      <c r="F16" s="3"/>
      <c r="G16" s="3"/>
      <c r="H16" s="51"/>
      <c r="I16" s="51"/>
      <c r="J16" s="51"/>
      <c r="K16" s="51"/>
      <c r="L16" s="51"/>
      <c r="M16" s="3"/>
    </row>
    <row r="17" spans="1:15" ht="15" customHeight="1">
      <c r="A17" s="3"/>
      <c r="B17" s="3"/>
      <c r="C17" s="3"/>
      <c r="D17" s="3"/>
      <c r="E17" s="3"/>
      <c r="F17" s="3"/>
      <c r="G17" s="3"/>
      <c r="H17" s="51"/>
      <c r="I17" s="51"/>
      <c r="J17" s="51"/>
      <c r="K17" s="51"/>
      <c r="L17" s="51"/>
      <c r="M17" s="3"/>
    </row>
    <row r="18" spans="1:15" ht="15" customHeight="1">
      <c r="A18" s="3"/>
      <c r="B18" s="40"/>
      <c r="C18" s="3"/>
      <c r="D18" s="3"/>
      <c r="E18" s="3"/>
      <c r="F18" s="3"/>
      <c r="G18" s="3"/>
      <c r="H18" s="51"/>
      <c r="I18" s="51"/>
      <c r="J18" s="51"/>
      <c r="K18" s="51"/>
      <c r="L18" s="51"/>
      <c r="M18" s="3"/>
    </row>
    <row r="19" spans="1:15" ht="15" customHeight="1">
      <c r="A19" s="3"/>
      <c r="B19" s="40"/>
      <c r="C19" s="3"/>
      <c r="D19" s="3"/>
      <c r="E19" s="3"/>
      <c r="F19" s="3"/>
      <c r="G19" s="3"/>
      <c r="H19" s="51"/>
      <c r="I19" s="51"/>
      <c r="J19" s="51"/>
      <c r="K19" s="51"/>
      <c r="L19" s="51"/>
      <c r="M19" s="3"/>
    </row>
    <row r="20" spans="1:15" ht="15" customHeight="1">
      <c r="A20" s="3"/>
      <c r="B20" s="10"/>
      <c r="C20" s="3"/>
      <c r="D20" s="3"/>
      <c r="E20" s="3"/>
      <c r="F20" s="3"/>
      <c r="G20" s="3"/>
      <c r="H20" s="51"/>
      <c r="I20" s="51"/>
      <c r="J20" s="51"/>
      <c r="K20" s="51"/>
      <c r="L20" s="51"/>
      <c r="M20" s="3"/>
    </row>
    <row r="21" spans="1:15" ht="15" customHeight="1">
      <c r="A21" s="3"/>
      <c r="B21" s="34"/>
      <c r="C21" s="3"/>
      <c r="D21" s="3"/>
      <c r="E21" s="3"/>
      <c r="F21" s="3"/>
      <c r="G21" s="3"/>
      <c r="H21" s="51"/>
      <c r="I21" s="51"/>
      <c r="J21" s="51"/>
      <c r="K21" s="51"/>
      <c r="L21" s="51"/>
      <c r="M21" s="3"/>
      <c r="O21" s="43"/>
    </row>
    <row r="22" spans="1:15" ht="15" customHeight="1">
      <c r="A22" s="3"/>
      <c r="B22" s="10"/>
      <c r="C22" s="3"/>
      <c r="D22" s="3"/>
      <c r="E22" s="3"/>
      <c r="F22" s="3"/>
      <c r="G22" s="3"/>
      <c r="H22" s="51"/>
      <c r="I22" s="51"/>
      <c r="J22" s="51"/>
      <c r="K22" s="51"/>
      <c r="L22" s="51"/>
      <c r="M22" s="3"/>
    </row>
    <row r="23" spans="1:15" ht="21.95" customHeight="1">
      <c r="A23" s="3"/>
      <c r="B23" s="34" t="s">
        <v>44</v>
      </c>
      <c r="C23" s="3"/>
      <c r="D23" s="3"/>
      <c r="E23" s="3"/>
      <c r="F23" s="3"/>
      <c r="G23" s="3"/>
      <c r="H23" s="34" t="s">
        <v>45</v>
      </c>
      <c r="I23" s="3"/>
      <c r="J23" s="3"/>
      <c r="K23" s="3"/>
      <c r="L23" s="3"/>
      <c r="M23" s="3"/>
    </row>
    <row r="24" spans="1:15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5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5" ht="15" customHeight="1">
      <c r="A26" s="3"/>
      <c r="B26" s="3"/>
      <c r="C26" s="3"/>
      <c r="D26" s="3"/>
      <c r="E26" s="3"/>
      <c r="F26" s="3"/>
      <c r="G26" s="3"/>
      <c r="H26" s="7"/>
      <c r="I26" s="3"/>
      <c r="J26" s="3"/>
      <c r="K26" s="3"/>
      <c r="L26" s="3"/>
      <c r="M26" s="3"/>
    </row>
    <row r="27" spans="1:15" ht="15" customHeight="1">
      <c r="A27" s="3"/>
      <c r="B27" s="3"/>
      <c r="C27" s="3"/>
      <c r="D27" s="3"/>
      <c r="E27" s="3"/>
      <c r="F27" s="3"/>
      <c r="G27" s="3"/>
      <c r="H27" s="7"/>
      <c r="I27" s="3"/>
      <c r="J27" s="3"/>
      <c r="K27" s="3"/>
      <c r="L27" s="3"/>
      <c r="M27" s="3"/>
    </row>
    <row r="28" spans="1:15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5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5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5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5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" customHeight="1">
      <c r="A34" s="3"/>
      <c r="B34" s="10"/>
      <c r="C34" s="3"/>
      <c r="D34" s="3"/>
      <c r="E34" s="3"/>
      <c r="F34" s="8"/>
      <c r="G34" s="3"/>
      <c r="H34" s="10"/>
      <c r="I34" s="3"/>
      <c r="J34" s="3"/>
      <c r="K34" s="3"/>
      <c r="L34" s="3"/>
      <c r="M34" s="3"/>
    </row>
    <row r="35" spans="1:13" ht="8.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" customHeight="1">
      <c r="A36" s="3"/>
      <c r="B36" s="34"/>
      <c r="C36" s="3"/>
      <c r="D36" s="3"/>
      <c r="E36" s="3"/>
      <c r="F36" s="8"/>
      <c r="G36" s="3"/>
      <c r="H36" s="34"/>
      <c r="I36" s="3"/>
      <c r="J36" s="3"/>
      <c r="K36" s="3"/>
      <c r="L36" s="3"/>
      <c r="M36" s="3"/>
    </row>
    <row r="37" spans="1:13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customHeight="1">
      <c r="A38" s="3"/>
      <c r="B38" s="6"/>
      <c r="C38" s="3"/>
      <c r="D38" s="3"/>
      <c r="E38" s="3"/>
      <c r="F38" s="8"/>
      <c r="G38" s="3"/>
      <c r="H38" s="6"/>
      <c r="I38" s="3"/>
      <c r="J38" s="3"/>
      <c r="K38" s="3"/>
      <c r="L38" s="3"/>
      <c r="M38" s="3"/>
    </row>
    <row r="39" spans="1:13" ht="21.95" customHeight="1">
      <c r="A39" s="3"/>
      <c r="B39" s="34" t="s">
        <v>46</v>
      </c>
      <c r="C39" s="3"/>
      <c r="D39" s="3"/>
      <c r="E39" s="3"/>
      <c r="F39" s="8"/>
      <c r="G39" s="3"/>
      <c r="H39" s="34" t="s">
        <v>47</v>
      </c>
      <c r="I39" s="3"/>
      <c r="J39" s="3"/>
      <c r="K39" s="3"/>
      <c r="L39" s="3"/>
      <c r="M39" s="3"/>
    </row>
    <row r="40" spans="1:13" ht="15" customHeight="1">
      <c r="A40" s="3"/>
      <c r="B40" s="7"/>
      <c r="C40" s="3"/>
      <c r="D40" s="3"/>
      <c r="E40" s="3"/>
      <c r="F40" s="8"/>
      <c r="G40" s="3"/>
      <c r="H40" s="7"/>
      <c r="I40" s="3"/>
      <c r="J40" s="3"/>
      <c r="K40" s="3"/>
      <c r="L40" s="3"/>
      <c r="M40" s="3"/>
    </row>
    <row r="41" spans="1:13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8.1" customHeight="1" thickBot="1">
      <c r="A52" s="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3"/>
    </row>
    <row r="53" spans="1:13" ht="8.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1.95" customHeight="1">
      <c r="A54"/>
      <c r="B54" s="36"/>
      <c r="C54" s="11"/>
      <c r="D54" s="11"/>
      <c r="E54" s="11"/>
      <c r="F54" s="11"/>
      <c r="G54" s="3"/>
      <c r="H54" s="3"/>
      <c r="I54" s="3"/>
      <c r="J54" s="3"/>
      <c r="K54" s="3"/>
      <c r="L54" s="39"/>
      <c r="M54" s="3"/>
    </row>
    <row r="55" spans="1:13" ht="21.95" customHeight="1">
      <c r="A55" s="9"/>
      <c r="B55" s="14"/>
      <c r="C55" s="11"/>
      <c r="D55" s="11"/>
      <c r="E55" s="11"/>
      <c r="F55" s="11"/>
      <c r="G55" s="3"/>
      <c r="H55" s="3"/>
      <c r="I55" s="3"/>
      <c r="J55" s="3"/>
      <c r="K55" s="3"/>
      <c r="L55" s="3"/>
      <c r="M55" s="9"/>
    </row>
    <row r="56" spans="1:13" ht="15" customHeight="1">
      <c r="B56" s="47"/>
      <c r="E56" s="47"/>
      <c r="F56" s="47"/>
      <c r="H56" s="47"/>
      <c r="I56" s="47"/>
      <c r="K56" s="47"/>
    </row>
    <row r="57" spans="1:13" ht="15" customHeight="1">
      <c r="G57" s="2"/>
      <c r="J57" s="2"/>
    </row>
    <row r="58" spans="1:13" ht="15" customHeight="1">
      <c r="A58" s="48"/>
      <c r="M58" s="48"/>
    </row>
    <row r="59" spans="1:13" ht="3" customHeight="1"/>
    <row r="60" spans="1:13" ht="3" customHeight="1"/>
  </sheetData>
  <mergeCells count="2">
    <mergeCell ref="B2:L3"/>
    <mergeCell ref="H9:L22"/>
  </mergeCells>
  <pageMargins left="0" right="0" top="0" bottom="0" header="0" footer="0"/>
  <pageSetup paperSize="9" orientation="portrait" r:id="rId1"/>
  <ignoredErrors>
    <ignoredError xmlns:x16r3="http://schemas.microsoft.com/office/spreadsheetml/2018/08/main" sqref="I5" x16r3:misleadingForma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F561-5DF0-4E47-AD6B-D4904F0C7753}">
  <sheetPr codeName="Sheet2"/>
  <dimension ref="A1:G2"/>
  <sheetViews>
    <sheetView workbookViewId="0">
      <selection activeCell="E8" sqref="E8"/>
    </sheetView>
  </sheetViews>
  <sheetFormatPr defaultRowHeight="13.5"/>
  <sheetData>
    <row r="1" spans="1:7">
      <c r="A1" t="s">
        <v>8</v>
      </c>
      <c r="B1" t="s">
        <v>3</v>
      </c>
      <c r="C1" t="s">
        <v>4</v>
      </c>
      <c r="E1" t="s">
        <v>5</v>
      </c>
      <c r="F1" t="s">
        <v>6</v>
      </c>
      <c r="G1" t="s">
        <v>7</v>
      </c>
    </row>
    <row r="2" spans="1:7">
      <c r="A2" s="25">
        <f ca="1">DATE(LEFT(OFFSET(monthly!$A$1,COUNTA(monthly!$A:$A)-1,0,1,1),4),RIGHT(OFFSET(monthly!$A$1,COUNTA(monthly!$A:$A)-1,0,1,1),2),1)</f>
        <v>45992</v>
      </c>
      <c r="B2">
        <f ca="1">OFFSET(monthly!$A$1,COUNTA(monthly!$A:$A)-1,2,1,1)</f>
        <v>-5.1586752512623119E-3</v>
      </c>
      <c r="C2">
        <f ca="1">OFFSET(monthly!$A$1,COUNTA(monthly!$A:$A)-1,1,1,1)</f>
        <v>5.5293053181863838E-2</v>
      </c>
      <c r="E2">
        <f>COUNTA(monthly_sta!$B:$B)-1</f>
        <v>56</v>
      </c>
      <c r="F2">
        <f>COUNTIF(monthly_sta!$O:$O,"&gt;=0")</f>
        <v>19</v>
      </c>
      <c r="G2">
        <f>COUNTIF(monthly_sta!$O:$O,"&lt;0")</f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E6E5-F148-4AEC-9C35-478E052130FA}">
  <sheetPr codeName="Sheet4"/>
  <dimension ref="A1:J25"/>
  <sheetViews>
    <sheetView showGridLines="0" workbookViewId="0">
      <selection activeCell="A2" sqref="A2"/>
    </sheetView>
  </sheetViews>
  <sheetFormatPr defaultRowHeight="13.5"/>
  <cols>
    <col min="1" max="1" width="10.125" style="17" bestFit="1" customWidth="1"/>
    <col min="2" max="3" width="9" style="23"/>
    <col min="10" max="10" width="10.125" style="17" bestFit="1" customWidth="1"/>
  </cols>
  <sheetData>
    <row r="1" spans="1:3">
      <c r="A1" s="22" t="s">
        <v>2</v>
      </c>
      <c r="B1" s="23" t="s">
        <v>11</v>
      </c>
      <c r="C1" s="23" t="s">
        <v>12</v>
      </c>
    </row>
    <row r="2" spans="1:3">
      <c r="A2" s="17">
        <v>45989</v>
      </c>
      <c r="B2" s="23">
        <v>100</v>
      </c>
      <c r="C2" s="23">
        <v>100</v>
      </c>
    </row>
    <row r="3" spans="1:3">
      <c r="A3" s="17">
        <v>45992</v>
      </c>
      <c r="B3" s="23">
        <v>100.63158268233403</v>
      </c>
      <c r="C3" s="23">
        <v>101.99688371330163</v>
      </c>
    </row>
    <row r="4" spans="1:3">
      <c r="A4" s="17">
        <v>45993</v>
      </c>
      <c r="B4" s="23">
        <v>101.54170042401198</v>
      </c>
      <c r="C4" s="23">
        <v>101.99688371330163</v>
      </c>
    </row>
    <row r="5" spans="1:3">
      <c r="A5" s="17">
        <v>45994</v>
      </c>
      <c r="B5" s="23">
        <v>102.41160503610311</v>
      </c>
      <c r="C5" s="23">
        <v>101.99688371330163</v>
      </c>
    </row>
    <row r="6" spans="1:3">
      <c r="A6" s="17">
        <v>45995</v>
      </c>
      <c r="B6" s="23">
        <v>102.73508418145583</v>
      </c>
      <c r="C6" s="23">
        <v>114.51183877014844</v>
      </c>
    </row>
    <row r="7" spans="1:3">
      <c r="A7" s="17">
        <v>45996</v>
      </c>
      <c r="B7" s="23">
        <v>102.97636295897669</v>
      </c>
      <c r="C7" s="23">
        <v>128.72710151402893</v>
      </c>
    </row>
    <row r="8" spans="1:3">
      <c r="A8" s="17">
        <v>45999</v>
      </c>
      <c r="B8" s="23">
        <v>103.71084394348873</v>
      </c>
      <c r="C8" s="23">
        <v>127.3625032647636</v>
      </c>
    </row>
    <row r="9" spans="1:3">
      <c r="A9" s="17">
        <v>46000</v>
      </c>
      <c r="B9" s="23">
        <v>103.32231414733381</v>
      </c>
      <c r="C9" s="23">
        <v>121.15905562492348</v>
      </c>
    </row>
    <row r="10" spans="1:3">
      <c r="A10" s="17">
        <v>46001</v>
      </c>
      <c r="B10" s="23">
        <v>101.65524337813943</v>
      </c>
      <c r="C10" s="23">
        <v>123.65404600127255</v>
      </c>
    </row>
    <row r="11" spans="1:3">
      <c r="A11" s="17">
        <v>46002</v>
      </c>
      <c r="B11" s="23">
        <v>100.46777331622305</v>
      </c>
      <c r="C11" s="23">
        <v>118.72039839439931</v>
      </c>
    </row>
    <row r="12" spans="1:3">
      <c r="A12" s="17">
        <v>46003</v>
      </c>
      <c r="B12" s="23">
        <v>97.392060272384825</v>
      </c>
      <c r="C12" s="23">
        <v>112.9330370739634</v>
      </c>
    </row>
    <row r="13" spans="1:3">
      <c r="A13" s="17">
        <v>46006</v>
      </c>
      <c r="B13" s="23">
        <v>97.340019751743057</v>
      </c>
      <c r="C13" s="23">
        <v>108.93480166335185</v>
      </c>
    </row>
    <row r="14" spans="1:3">
      <c r="A14" s="17">
        <v>46007</v>
      </c>
      <c r="B14" s="23">
        <v>99.301592558205556</v>
      </c>
      <c r="C14" s="23">
        <v>108.93480166335185</v>
      </c>
    </row>
    <row r="15" spans="1:3">
      <c r="A15" s="17">
        <v>46008</v>
      </c>
      <c r="B15" s="23">
        <v>98.975156565089094</v>
      </c>
      <c r="C15" s="23">
        <v>110.7212314457966</v>
      </c>
    </row>
    <row r="16" spans="1:3">
      <c r="A16" s="17">
        <v>46009</v>
      </c>
      <c r="B16" s="23">
        <v>99.171491256601172</v>
      </c>
      <c r="C16" s="23">
        <v>109.02824625549391</v>
      </c>
    </row>
    <row r="17" spans="1:3">
      <c r="A17" s="17">
        <v>46010</v>
      </c>
      <c r="B17" s="23">
        <v>100.78770424425929</v>
      </c>
      <c r="C17" s="23">
        <v>109.02824625549391</v>
      </c>
    </row>
    <row r="18" spans="1:3">
      <c r="A18" s="17">
        <v>46013</v>
      </c>
      <c r="B18" s="23">
        <v>103.55058279469424</v>
      </c>
      <c r="C18" s="23">
        <v>108.92610763552065</v>
      </c>
    </row>
    <row r="19" spans="1:3">
      <c r="A19" s="17">
        <v>46014</v>
      </c>
      <c r="B19" s="23">
        <v>104.79955529009634</v>
      </c>
      <c r="C19" s="23">
        <v>112.43985304311809</v>
      </c>
    </row>
    <row r="20" spans="1:3">
      <c r="A20" s="17">
        <v>46015</v>
      </c>
      <c r="B20" s="23">
        <v>105.4305466028776</v>
      </c>
      <c r="C20" s="23">
        <v>112.43985304311809</v>
      </c>
    </row>
    <row r="21" spans="1:3">
      <c r="A21" s="17">
        <v>46016</v>
      </c>
      <c r="B21" s="23">
        <v>103.06684250054701</v>
      </c>
      <c r="C21" s="23">
        <v>117.40362622602584</v>
      </c>
    </row>
    <row r="22" spans="1:3">
      <c r="A22" s="17">
        <v>46017</v>
      </c>
      <c r="B22" s="23">
        <v>102.2951052342119</v>
      </c>
      <c r="C22" s="23">
        <v>123.90105977621032</v>
      </c>
    </row>
    <row r="23" spans="1:3">
      <c r="A23" s="17">
        <v>46020</v>
      </c>
      <c r="B23" s="23">
        <v>103.77589459429092</v>
      </c>
      <c r="C23" s="23">
        <v>128.55080174737168</v>
      </c>
    </row>
    <row r="24" spans="1:3">
      <c r="A24" s="17">
        <v>46021</v>
      </c>
      <c r="B24" s="23">
        <v>104.48908627490405</v>
      </c>
      <c r="C24" s="23">
        <v>121.56434513066669</v>
      </c>
    </row>
    <row r="25" spans="1:3">
      <c r="A25" s="17">
        <v>46022</v>
      </c>
      <c r="B25" s="23">
        <v>105.52930531818639</v>
      </c>
      <c r="C25" s="23">
        <v>130.44616722482343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7DE0-85B8-4625-8EEB-70098250DDF2}">
  <sheetPr codeName="Sheet5"/>
  <dimension ref="A1:E14"/>
  <sheetViews>
    <sheetView showGridLines="0" workbookViewId="0">
      <selection activeCell="A14" sqref="A14"/>
    </sheetView>
  </sheetViews>
  <sheetFormatPr defaultRowHeight="13.5"/>
  <cols>
    <col min="1" max="1" width="9" style="20"/>
    <col min="2" max="3" width="9" style="21"/>
  </cols>
  <sheetData>
    <row r="1" spans="1:5">
      <c r="A1" s="19" t="s">
        <v>25</v>
      </c>
      <c r="B1" s="21" t="s">
        <v>30</v>
      </c>
      <c r="C1" s="21" t="s">
        <v>31</v>
      </c>
      <c r="D1" t="s">
        <v>11</v>
      </c>
      <c r="E1" t="s">
        <v>12</v>
      </c>
    </row>
    <row r="2" spans="1:5">
      <c r="A2" s="20" t="s">
        <v>32</v>
      </c>
      <c r="B2" s="21">
        <v>0</v>
      </c>
      <c r="C2" s="21">
        <v>0</v>
      </c>
      <c r="D2">
        <v>100</v>
      </c>
      <c r="E2">
        <v>100</v>
      </c>
    </row>
    <row r="3" spans="1:5">
      <c r="A3" s="20" t="s">
        <v>33</v>
      </c>
      <c r="B3" s="21">
        <v>-1.3656672824010618E-3</v>
      </c>
      <c r="C3" s="21">
        <v>-8.8192586465406231E-4</v>
      </c>
      <c r="D3">
        <v>99.863433271759888</v>
      </c>
      <c r="E3">
        <v>99.911807413534589</v>
      </c>
    </row>
    <row r="4" spans="1:5">
      <c r="A4" s="20" t="s">
        <v>34</v>
      </c>
      <c r="B4" s="21">
        <v>3.1864353187621042E-2</v>
      </c>
      <c r="C4" s="21">
        <v>5.279189130495221E-2</v>
      </c>
      <c r="D4">
        <v>103.18643531876211</v>
      </c>
      <c r="E4">
        <v>105.27918913049521</v>
      </c>
    </row>
    <row r="5" spans="1:5">
      <c r="A5" s="20" t="s">
        <v>35</v>
      </c>
      <c r="B5" s="21">
        <v>1.1491082919654616E-3</v>
      </c>
      <c r="C5" s="21">
        <v>8.8395225497617767E-3</v>
      </c>
      <c r="D5">
        <v>100.11491082919655</v>
      </c>
      <c r="E5">
        <v>100.88395225497618</v>
      </c>
    </row>
    <row r="6" spans="1:5">
      <c r="A6" s="20" t="s">
        <v>36</v>
      </c>
      <c r="B6" s="21">
        <v>-6.1643940437384193E-2</v>
      </c>
      <c r="C6" s="21">
        <v>-1.893805400411577E-2</v>
      </c>
      <c r="D6">
        <v>93.835605956261574</v>
      </c>
      <c r="E6">
        <v>98.10619459958842</v>
      </c>
    </row>
    <row r="7" spans="1:5">
      <c r="A7" s="20" t="s">
        <v>37</v>
      </c>
      <c r="B7" s="21">
        <v>8.6683519530294406E-2</v>
      </c>
      <c r="C7" s="21">
        <v>6.4644778569136516E-2</v>
      </c>
      <c r="D7">
        <v>108.66835195302944</v>
      </c>
      <c r="E7">
        <v>106.46447785691365</v>
      </c>
    </row>
    <row r="8" spans="1:5">
      <c r="A8" s="20" t="s">
        <v>38</v>
      </c>
      <c r="B8" s="21">
        <v>3.2620441242683595E-2</v>
      </c>
      <c r="C8" s="21">
        <v>4.9548819785889084E-2</v>
      </c>
      <c r="D8">
        <v>103.26204412426836</v>
      </c>
      <c r="E8">
        <v>104.95488197858892</v>
      </c>
    </row>
    <row r="9" spans="1:5">
      <c r="A9" s="20" t="s">
        <v>39</v>
      </c>
      <c r="B9" s="21">
        <v>9.1892127580718963E-2</v>
      </c>
      <c r="C9" s="21">
        <v>7.701923719588627E-2</v>
      </c>
      <c r="D9">
        <v>109.1892127580719</v>
      </c>
      <c r="E9">
        <v>107.70192371958862</v>
      </c>
    </row>
    <row r="10" spans="1:5">
      <c r="A10" s="20" t="s">
        <v>40</v>
      </c>
      <c r="B10" s="21">
        <v>0.1195924180709742</v>
      </c>
      <c r="C10" s="21">
        <v>4.7960047522462704E-2</v>
      </c>
      <c r="D10">
        <v>111.95924180709741</v>
      </c>
      <c r="E10">
        <v>104.79600475224626</v>
      </c>
    </row>
    <row r="11" spans="1:5">
      <c r="A11" s="20" t="s">
        <v>41</v>
      </c>
      <c r="B11" s="21">
        <v>-1.2192294660000824E-2</v>
      </c>
      <c r="C11" s="21">
        <v>2.6323625052826819E-2</v>
      </c>
      <c r="D11">
        <v>98.780770533999913</v>
      </c>
      <c r="E11">
        <v>102.63236250528269</v>
      </c>
    </row>
    <row r="12" spans="1:5">
      <c r="A12" s="20" t="s">
        <v>42</v>
      </c>
      <c r="B12" s="21">
        <v>-1.3269543238851766E-2</v>
      </c>
      <c r="C12" s="21">
        <v>-2.8227912469665016E-2</v>
      </c>
      <c r="D12">
        <v>98.673045676114825</v>
      </c>
      <c r="E12">
        <v>97.177208753033497</v>
      </c>
    </row>
    <row r="13" spans="1:5">
      <c r="A13" s="20" t="s">
        <v>43</v>
      </c>
      <c r="B13" s="21">
        <v>3.1311560393986415E-2</v>
      </c>
      <c r="C13" s="21">
        <v>-1.392130071203744E-2</v>
      </c>
      <c r="D13">
        <v>103.13115603939865</v>
      </c>
      <c r="E13">
        <v>98.607869928796248</v>
      </c>
    </row>
    <row r="14" spans="1:5">
      <c r="A14" s="20" t="s">
        <v>27</v>
      </c>
      <c r="B14" s="21">
        <v>5.5293053181863838E-2</v>
      </c>
      <c r="C14" s="21">
        <v>-5.1586752512623119E-3</v>
      </c>
      <c r="D14">
        <v>105.52930531818639</v>
      </c>
      <c r="E14">
        <v>99.484132474873761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FC74-0BF6-4C19-9D1C-6A2D439411C6}">
  <sheetPr codeName="Sheet6"/>
  <dimension ref="A1:O80"/>
  <sheetViews>
    <sheetView showGridLines="0" topLeftCell="D1" zoomScaleNormal="100" workbookViewId="0">
      <selection activeCell="G2" sqref="G2"/>
    </sheetView>
  </sheetViews>
  <sheetFormatPr defaultRowHeight="13.5"/>
  <cols>
    <col min="1" max="1" width="16.5625" customWidth="1"/>
    <col min="2" max="2" width="10.125" bestFit="1" customWidth="1"/>
    <col min="3" max="3" width="7.6875" style="18" bestFit="1" customWidth="1"/>
    <col min="4" max="4" width="11.875" style="18" bestFit="1" customWidth="1"/>
    <col min="5" max="5" width="15.625" style="23" bestFit="1" customWidth="1"/>
    <col min="6" max="6" width="11.875" style="23" bestFit="1" customWidth="1"/>
    <col min="7" max="7" width="10.5" style="23" bestFit="1" customWidth="1"/>
    <col min="8" max="8" width="14.875" bestFit="1" customWidth="1"/>
    <col min="11" max="11" width="9" style="45"/>
    <col min="13" max="13" width="9" style="23"/>
    <col min="15" max="15" width="9" style="46"/>
  </cols>
  <sheetData>
    <row r="1" spans="1:15">
      <c r="A1" s="16" t="s">
        <v>13</v>
      </c>
      <c r="B1" t="s">
        <v>14</v>
      </c>
      <c r="C1" s="18" t="s">
        <v>0</v>
      </c>
      <c r="D1" s="18" t="s">
        <v>15</v>
      </c>
      <c r="E1" s="23" t="s">
        <v>16</v>
      </c>
      <c r="F1" s="23" t="s">
        <v>17</v>
      </c>
      <c r="G1" s="23" t="s">
        <v>18</v>
      </c>
      <c r="H1" t="s">
        <v>19</v>
      </c>
      <c r="I1" t="s">
        <v>20</v>
      </c>
      <c r="J1" t="s">
        <v>21</v>
      </c>
      <c r="K1" s="45" t="s">
        <v>22</v>
      </c>
      <c r="L1" t="s">
        <v>23</v>
      </c>
      <c r="M1" s="23" t="s">
        <v>24</v>
      </c>
      <c r="N1" t="s">
        <v>25</v>
      </c>
      <c r="O1" s="46" t="s">
        <v>26</v>
      </c>
    </row>
    <row r="2" spans="1:15">
      <c r="A2" s="17">
        <v>46006</v>
      </c>
      <c r="B2" s="17" t="s">
        <v>48</v>
      </c>
      <c r="C2" s="18">
        <v>1.3</v>
      </c>
      <c r="D2" s="18">
        <v>34.9</v>
      </c>
      <c r="E2" s="23">
        <v>28.2</v>
      </c>
      <c r="F2" s="23">
        <v>29</v>
      </c>
      <c r="G2" s="23">
        <v>31.8</v>
      </c>
      <c r="H2">
        <v>34</v>
      </c>
      <c r="I2">
        <v>27.3</v>
      </c>
      <c r="J2" s="17">
        <v>46008</v>
      </c>
      <c r="K2" s="45">
        <v>29</v>
      </c>
      <c r="L2" s="17">
        <v>46017</v>
      </c>
      <c r="M2" s="23">
        <v>34</v>
      </c>
      <c r="N2" t="s">
        <v>27</v>
      </c>
      <c r="O2" s="46">
        <v>0.17241379310344818</v>
      </c>
    </row>
    <row r="3" spans="1:15">
      <c r="A3" s="17">
        <v>45978</v>
      </c>
      <c r="B3" s="17" t="s">
        <v>49</v>
      </c>
      <c r="C3" s="18">
        <v>1.4</v>
      </c>
      <c r="D3" s="18">
        <v>149.5</v>
      </c>
      <c r="E3" s="23">
        <v>143</v>
      </c>
      <c r="F3" s="23">
        <v>146</v>
      </c>
      <c r="G3" s="23">
        <v>155</v>
      </c>
      <c r="H3">
        <v>167</v>
      </c>
      <c r="I3">
        <v>138.80000000000001</v>
      </c>
      <c r="J3" s="17">
        <v>45978</v>
      </c>
      <c r="K3" s="45">
        <v>145</v>
      </c>
      <c r="L3" s="17">
        <v>45996</v>
      </c>
      <c r="M3" s="23">
        <v>163</v>
      </c>
      <c r="N3" t="s">
        <v>27</v>
      </c>
      <c r="O3" s="46">
        <v>0.12413793103448278</v>
      </c>
    </row>
    <row r="4" spans="1:15">
      <c r="A4" s="17">
        <v>45964</v>
      </c>
      <c r="B4" s="17" t="s">
        <v>50</v>
      </c>
      <c r="C4" s="18">
        <v>1.1000000000000001</v>
      </c>
      <c r="D4" s="18">
        <v>16.100000000000001</v>
      </c>
      <c r="E4" s="23">
        <v>16</v>
      </c>
      <c r="F4" s="23">
        <v>16.5</v>
      </c>
      <c r="G4" s="23">
        <v>17.5</v>
      </c>
      <c r="H4">
        <v>19.3</v>
      </c>
      <c r="I4">
        <v>15.4</v>
      </c>
      <c r="J4" s="17">
        <v>45965</v>
      </c>
      <c r="K4" s="45">
        <v>16.3</v>
      </c>
      <c r="L4" s="17">
        <v>45995</v>
      </c>
      <c r="M4" s="23">
        <v>18.3</v>
      </c>
      <c r="N4" t="s">
        <v>27</v>
      </c>
      <c r="O4" s="46">
        <v>0.12269938650306744</v>
      </c>
    </row>
    <row r="5" spans="1:15">
      <c r="A5" s="17">
        <v>46003</v>
      </c>
      <c r="B5" s="17" t="s">
        <v>51</v>
      </c>
      <c r="C5" s="18">
        <v>1.2</v>
      </c>
      <c r="D5" s="18">
        <v>56.8</v>
      </c>
      <c r="E5" s="23">
        <v>52.5</v>
      </c>
      <c r="F5" s="23">
        <v>54</v>
      </c>
      <c r="G5" s="23">
        <v>58</v>
      </c>
      <c r="H5">
        <v>63</v>
      </c>
      <c r="I5">
        <v>50.3</v>
      </c>
      <c r="J5" s="17">
        <v>46003</v>
      </c>
      <c r="K5" s="45">
        <v>52.5</v>
      </c>
      <c r="L5" s="17">
        <v>46022</v>
      </c>
      <c r="M5" s="23">
        <v>58</v>
      </c>
      <c r="N5" t="s">
        <v>27</v>
      </c>
      <c r="O5" s="46">
        <v>0.10476190476190483</v>
      </c>
    </row>
    <row r="6" spans="1:15">
      <c r="A6" s="17">
        <v>45989</v>
      </c>
      <c r="B6" s="17" t="s">
        <v>52</v>
      </c>
      <c r="C6" s="18">
        <v>0.7</v>
      </c>
      <c r="D6" s="18">
        <v>72.400000000000006</v>
      </c>
      <c r="E6" s="23">
        <v>62</v>
      </c>
      <c r="F6" s="23">
        <v>63.4</v>
      </c>
      <c r="G6" s="23">
        <v>67</v>
      </c>
      <c r="H6">
        <v>69</v>
      </c>
      <c r="I6">
        <v>60.6</v>
      </c>
      <c r="J6" s="17">
        <v>45989</v>
      </c>
      <c r="K6" s="45">
        <v>63.1</v>
      </c>
      <c r="L6" s="17">
        <v>46016</v>
      </c>
      <c r="M6" s="23">
        <v>69.2</v>
      </c>
      <c r="N6" t="s">
        <v>27</v>
      </c>
      <c r="O6" s="46">
        <v>9.6671949286846193E-2</v>
      </c>
    </row>
    <row r="7" spans="1:15">
      <c r="A7" s="17">
        <v>45989</v>
      </c>
      <c r="B7" s="17" t="s">
        <v>53</v>
      </c>
      <c r="C7" s="18">
        <v>1.1000000000000001</v>
      </c>
      <c r="D7" s="18">
        <v>97</v>
      </c>
      <c r="E7" s="23">
        <v>87.8</v>
      </c>
      <c r="F7" s="23">
        <v>89.3</v>
      </c>
      <c r="G7" s="23">
        <v>95</v>
      </c>
      <c r="H7">
        <v>100</v>
      </c>
      <c r="I7">
        <v>85.3</v>
      </c>
      <c r="J7" s="17">
        <v>45989</v>
      </c>
      <c r="K7" s="45">
        <v>89</v>
      </c>
      <c r="L7" s="17">
        <v>46020</v>
      </c>
      <c r="M7" s="23">
        <v>96</v>
      </c>
      <c r="N7" t="s">
        <v>27</v>
      </c>
      <c r="O7" s="46">
        <v>7.8651685393258397E-2</v>
      </c>
    </row>
    <row r="8" spans="1:15">
      <c r="A8" s="17">
        <v>46010</v>
      </c>
      <c r="B8" s="17" t="s">
        <v>54</v>
      </c>
      <c r="C8" s="18">
        <v>0.5</v>
      </c>
      <c r="D8" s="18">
        <v>22.55</v>
      </c>
      <c r="E8" s="23">
        <v>21</v>
      </c>
      <c r="F8" s="23">
        <v>22</v>
      </c>
      <c r="G8" s="23">
        <v>23.2</v>
      </c>
      <c r="H8">
        <v>24.2</v>
      </c>
      <c r="I8">
        <v>20.5</v>
      </c>
      <c r="J8" s="17">
        <v>46010</v>
      </c>
      <c r="K8" s="45">
        <v>21.55</v>
      </c>
      <c r="L8" s="17">
        <v>46022</v>
      </c>
      <c r="M8" s="23">
        <v>23.2</v>
      </c>
      <c r="N8" t="s">
        <v>27</v>
      </c>
      <c r="O8" s="46">
        <v>7.6566125290023157E-2</v>
      </c>
    </row>
    <row r="9" spans="1:15">
      <c r="A9" s="17">
        <v>45992</v>
      </c>
      <c r="B9" s="17" t="s">
        <v>53</v>
      </c>
      <c r="C9" s="18">
        <v>0.6</v>
      </c>
      <c r="D9" s="18">
        <v>97</v>
      </c>
      <c r="E9" s="23">
        <v>89</v>
      </c>
      <c r="F9" s="23">
        <v>92</v>
      </c>
      <c r="G9" s="23">
        <v>96.2</v>
      </c>
      <c r="H9">
        <v>100</v>
      </c>
      <c r="I9">
        <v>86.3</v>
      </c>
      <c r="J9" s="17">
        <v>45992</v>
      </c>
      <c r="K9" s="45">
        <v>89.5</v>
      </c>
      <c r="L9" s="17">
        <v>46001</v>
      </c>
      <c r="M9" s="23">
        <v>96.2</v>
      </c>
      <c r="N9" t="s">
        <v>27</v>
      </c>
      <c r="O9" s="46">
        <v>7.4860335195530814E-2</v>
      </c>
    </row>
    <row r="10" spans="1:15">
      <c r="A10" s="17">
        <v>46002</v>
      </c>
      <c r="B10" s="17" t="s">
        <v>55</v>
      </c>
      <c r="C10" s="18">
        <v>1.3</v>
      </c>
      <c r="D10" s="18">
        <v>47.05</v>
      </c>
      <c r="E10" s="23">
        <v>44.051080550098227</v>
      </c>
      <c r="F10" s="23">
        <v>44.923379174852649</v>
      </c>
      <c r="G10" s="23">
        <v>48.848722986247544</v>
      </c>
      <c r="H10">
        <v>54.954813359528487</v>
      </c>
      <c r="I10">
        <v>42.568172888015717</v>
      </c>
      <c r="J10" s="17">
        <v>46002</v>
      </c>
      <c r="K10" s="45">
        <v>44.312770137524559</v>
      </c>
      <c r="L10" s="17">
        <v>46022</v>
      </c>
      <c r="M10" s="23">
        <v>47.5</v>
      </c>
      <c r="N10" t="s">
        <v>27</v>
      </c>
      <c r="O10" s="46">
        <v>7.1925764347024135E-2</v>
      </c>
    </row>
    <row r="11" spans="1:15">
      <c r="A11" s="17">
        <v>46008</v>
      </c>
      <c r="B11" s="17" t="s">
        <v>53</v>
      </c>
      <c r="C11" s="18">
        <v>1.4</v>
      </c>
      <c r="D11" s="18">
        <v>97</v>
      </c>
      <c r="E11" s="23">
        <v>90</v>
      </c>
      <c r="F11" s="23">
        <v>92</v>
      </c>
      <c r="G11" s="23">
        <v>98</v>
      </c>
      <c r="H11">
        <v>105</v>
      </c>
      <c r="I11">
        <v>86.3</v>
      </c>
      <c r="J11" s="17">
        <v>46008</v>
      </c>
      <c r="K11" s="45">
        <v>91.3</v>
      </c>
      <c r="L11" s="17">
        <v>46022</v>
      </c>
      <c r="M11" s="23">
        <v>97</v>
      </c>
      <c r="N11" t="s">
        <v>27</v>
      </c>
      <c r="O11" s="46">
        <v>6.2431544359255131E-2</v>
      </c>
    </row>
    <row r="12" spans="1:15">
      <c r="A12" s="17">
        <v>45982</v>
      </c>
      <c r="B12" s="17" t="s">
        <v>56</v>
      </c>
      <c r="C12" s="18">
        <v>1.3</v>
      </c>
      <c r="D12" s="18">
        <v>34.299999999999997</v>
      </c>
      <c r="E12" s="23">
        <v>31.401869158878505</v>
      </c>
      <c r="F12" s="23">
        <v>32.242990654205606</v>
      </c>
      <c r="G12" s="23">
        <v>34.579439252336449</v>
      </c>
      <c r="H12">
        <v>38.31775700934579</v>
      </c>
      <c r="I12">
        <v>29.813084112149529</v>
      </c>
      <c r="J12" s="17">
        <v>45982</v>
      </c>
      <c r="K12" s="45">
        <v>31.495327102803738</v>
      </c>
      <c r="L12" s="17">
        <v>46013</v>
      </c>
      <c r="M12" s="23">
        <v>33.1</v>
      </c>
      <c r="N12" t="s">
        <v>27</v>
      </c>
      <c r="O12" s="46">
        <v>5.0949554896142502E-2</v>
      </c>
    </row>
    <row r="13" spans="1:15">
      <c r="A13" s="17">
        <v>45995</v>
      </c>
      <c r="B13" s="17" t="s">
        <v>57</v>
      </c>
      <c r="C13" s="18">
        <v>0.6</v>
      </c>
      <c r="D13" s="18">
        <v>18.350000000000001</v>
      </c>
      <c r="E13" s="23">
        <v>16.96551724137931</v>
      </c>
      <c r="F13" s="23">
        <v>17.719540229885059</v>
      </c>
      <c r="G13" s="23">
        <v>19.180459770114943</v>
      </c>
      <c r="H13">
        <v>20.075862068965517</v>
      </c>
      <c r="I13">
        <v>16.305747126436781</v>
      </c>
      <c r="J13" s="17">
        <v>45995</v>
      </c>
      <c r="K13" s="45">
        <v>17.625287356321838</v>
      </c>
      <c r="L13" s="17">
        <v>46022</v>
      </c>
      <c r="M13" s="23">
        <v>18.5</v>
      </c>
      <c r="N13" t="s">
        <v>27</v>
      </c>
      <c r="O13" s="46">
        <v>4.9628277031433576E-2</v>
      </c>
    </row>
    <row r="14" spans="1:15">
      <c r="A14" s="17">
        <v>45988</v>
      </c>
      <c r="B14" s="17" t="s">
        <v>58</v>
      </c>
      <c r="C14" s="18">
        <v>0.7</v>
      </c>
      <c r="D14" s="18">
        <v>12.4</v>
      </c>
      <c r="E14" s="23">
        <v>12.1</v>
      </c>
      <c r="F14" s="23">
        <v>12.4</v>
      </c>
      <c r="G14" s="23">
        <v>13.7</v>
      </c>
      <c r="H14">
        <v>15.3</v>
      </c>
      <c r="I14">
        <v>11.7</v>
      </c>
      <c r="J14" s="17">
        <v>45988</v>
      </c>
      <c r="K14" s="45">
        <v>12.4</v>
      </c>
      <c r="L14" s="17">
        <v>46014</v>
      </c>
      <c r="M14" s="23">
        <v>12.8</v>
      </c>
      <c r="N14" t="s">
        <v>27</v>
      </c>
      <c r="O14" s="46">
        <v>3.2258064516129004E-2</v>
      </c>
    </row>
    <row r="15" spans="1:15">
      <c r="A15" s="17">
        <v>45978</v>
      </c>
      <c r="B15" s="17" t="s">
        <v>10</v>
      </c>
      <c r="C15" s="18">
        <v>1.3</v>
      </c>
      <c r="D15" s="18">
        <v>65.900000000000006</v>
      </c>
      <c r="E15" s="23">
        <v>62</v>
      </c>
      <c r="F15" s="23">
        <v>64</v>
      </c>
      <c r="G15" s="23">
        <v>68</v>
      </c>
      <c r="H15">
        <v>71</v>
      </c>
      <c r="I15">
        <v>60.5</v>
      </c>
      <c r="J15" s="17">
        <v>45978</v>
      </c>
      <c r="K15" s="45">
        <v>63.5</v>
      </c>
      <c r="L15" s="17">
        <v>46008</v>
      </c>
      <c r="M15" s="23">
        <v>65.5</v>
      </c>
      <c r="N15" t="s">
        <v>27</v>
      </c>
      <c r="O15" s="46">
        <v>3.1496062992125928E-2</v>
      </c>
    </row>
    <row r="16" spans="1:15">
      <c r="A16" s="17">
        <v>45988</v>
      </c>
      <c r="B16" s="17" t="s">
        <v>59</v>
      </c>
      <c r="C16" s="18">
        <v>1.5</v>
      </c>
      <c r="D16" s="18">
        <v>27.05</v>
      </c>
      <c r="E16" s="23">
        <v>26.5</v>
      </c>
      <c r="F16" s="23">
        <v>27</v>
      </c>
      <c r="G16" s="23">
        <v>29.3</v>
      </c>
      <c r="H16">
        <v>31.5</v>
      </c>
      <c r="I16">
        <v>25.7</v>
      </c>
      <c r="J16" s="17">
        <v>45988</v>
      </c>
      <c r="K16" s="45">
        <v>26.8</v>
      </c>
      <c r="L16" s="17">
        <v>46020</v>
      </c>
      <c r="M16" s="23">
        <v>27.5</v>
      </c>
      <c r="N16" t="s">
        <v>27</v>
      </c>
      <c r="O16" s="46">
        <v>2.6119402985074647E-2</v>
      </c>
    </row>
    <row r="17" spans="1:15">
      <c r="A17" s="17">
        <v>45961</v>
      </c>
      <c r="B17" s="17" t="s">
        <v>60</v>
      </c>
      <c r="C17" s="18">
        <v>1.2</v>
      </c>
      <c r="D17" s="18">
        <v>22.25</v>
      </c>
      <c r="E17" s="23">
        <v>23</v>
      </c>
      <c r="F17" s="23">
        <v>23.5</v>
      </c>
      <c r="G17" s="23">
        <v>25.5</v>
      </c>
      <c r="H17">
        <v>28</v>
      </c>
      <c r="I17">
        <v>22.2</v>
      </c>
      <c r="J17" s="17">
        <v>45961</v>
      </c>
      <c r="K17" s="45">
        <v>23.45</v>
      </c>
      <c r="L17" s="17">
        <v>45992</v>
      </c>
      <c r="M17" s="23">
        <v>24</v>
      </c>
      <c r="N17" t="s">
        <v>27</v>
      </c>
      <c r="O17" s="46">
        <v>2.3454157782516027E-2</v>
      </c>
    </row>
    <row r="18" spans="1:15">
      <c r="A18" s="17">
        <v>45961</v>
      </c>
      <c r="B18" s="17" t="s">
        <v>61</v>
      </c>
      <c r="C18" s="18">
        <v>0.6</v>
      </c>
      <c r="D18" s="18">
        <v>17.75</v>
      </c>
      <c r="E18" s="23">
        <v>17.7</v>
      </c>
      <c r="F18" s="23">
        <v>18.3</v>
      </c>
      <c r="G18" s="23">
        <v>19.5</v>
      </c>
      <c r="H18">
        <v>20.7</v>
      </c>
      <c r="I18">
        <v>17.399999999999999</v>
      </c>
      <c r="J18" s="17">
        <v>45965</v>
      </c>
      <c r="K18" s="45">
        <v>18.2</v>
      </c>
      <c r="L18" s="17">
        <v>45992</v>
      </c>
      <c r="M18" s="23">
        <v>18.5</v>
      </c>
      <c r="N18" t="s">
        <v>27</v>
      </c>
      <c r="O18" s="46">
        <v>1.6483516483516425E-2</v>
      </c>
    </row>
    <row r="19" spans="1:15">
      <c r="A19" s="17">
        <v>45988</v>
      </c>
      <c r="B19" s="17" t="s">
        <v>62</v>
      </c>
      <c r="C19" s="18">
        <v>1.4</v>
      </c>
      <c r="D19" s="18">
        <v>13</v>
      </c>
      <c r="E19" s="23">
        <v>12.4</v>
      </c>
      <c r="F19" s="23">
        <v>12.9</v>
      </c>
      <c r="G19" s="23">
        <v>14</v>
      </c>
      <c r="H19">
        <v>14.5</v>
      </c>
      <c r="I19">
        <v>11.9</v>
      </c>
      <c r="J19" s="17">
        <v>45988</v>
      </c>
      <c r="K19" s="45">
        <v>12.8</v>
      </c>
      <c r="L19" s="17">
        <v>46020</v>
      </c>
      <c r="M19" s="23">
        <v>12.9</v>
      </c>
      <c r="N19" t="s">
        <v>27</v>
      </c>
      <c r="O19" s="46">
        <v>7.8125E-3</v>
      </c>
    </row>
    <row r="20" spans="1:15">
      <c r="A20" s="17">
        <v>45978</v>
      </c>
      <c r="B20" s="17" t="s">
        <v>29</v>
      </c>
      <c r="C20" s="18">
        <v>0.9</v>
      </c>
      <c r="D20" s="18">
        <v>38.9</v>
      </c>
      <c r="E20" s="23">
        <v>37.799999999999997</v>
      </c>
      <c r="F20" s="23">
        <v>38.4</v>
      </c>
      <c r="G20" s="23">
        <v>40.799999999999997</v>
      </c>
      <c r="H20">
        <v>44</v>
      </c>
      <c r="I20">
        <v>35.9</v>
      </c>
      <c r="J20" s="17">
        <v>45978</v>
      </c>
      <c r="K20" s="45">
        <v>38.4</v>
      </c>
      <c r="L20" s="17">
        <v>46008</v>
      </c>
      <c r="M20" s="23">
        <v>38.450000000000003</v>
      </c>
      <c r="N20" t="s">
        <v>27</v>
      </c>
      <c r="O20" s="46">
        <v>1.3020833333334814E-3</v>
      </c>
    </row>
    <row r="21" spans="1:15">
      <c r="A21" s="17">
        <v>45985</v>
      </c>
      <c r="B21" s="17" t="s">
        <v>63</v>
      </c>
      <c r="C21" s="18">
        <v>1</v>
      </c>
      <c r="D21" s="18">
        <v>34.450000000000003</v>
      </c>
      <c r="E21" s="23">
        <v>35.5</v>
      </c>
      <c r="F21" s="23">
        <v>36.200000000000003</v>
      </c>
      <c r="G21" s="23">
        <v>38.5</v>
      </c>
      <c r="H21">
        <v>42</v>
      </c>
      <c r="I21">
        <v>34.4</v>
      </c>
      <c r="J21" s="17">
        <v>45986</v>
      </c>
      <c r="K21" s="45">
        <v>35.799999999999997</v>
      </c>
      <c r="L21" s="17">
        <v>46016</v>
      </c>
      <c r="M21" s="23">
        <v>35.5</v>
      </c>
      <c r="N21" t="s">
        <v>27</v>
      </c>
      <c r="O21" s="46">
        <v>-8.379888268156388E-3</v>
      </c>
    </row>
    <row r="22" spans="1:15">
      <c r="A22" s="17">
        <v>45993</v>
      </c>
      <c r="B22" s="17" t="s">
        <v>64</v>
      </c>
      <c r="C22" s="18">
        <v>1.3</v>
      </c>
      <c r="D22" s="18">
        <v>25.7</v>
      </c>
      <c r="E22" s="23">
        <v>28.7</v>
      </c>
      <c r="F22" s="23">
        <v>30</v>
      </c>
      <c r="G22" s="23">
        <v>32</v>
      </c>
      <c r="H22">
        <v>33.799999999999997</v>
      </c>
      <c r="I22">
        <v>28</v>
      </c>
      <c r="J22" s="17">
        <v>45993</v>
      </c>
      <c r="K22" s="45">
        <v>28.3</v>
      </c>
      <c r="L22" s="17">
        <v>45999</v>
      </c>
      <c r="M22" s="23">
        <v>28</v>
      </c>
      <c r="N22" t="s">
        <v>27</v>
      </c>
      <c r="O22" s="46">
        <v>-1.0600706713780994E-2</v>
      </c>
    </row>
    <row r="23" spans="1:15">
      <c r="A23" s="17">
        <v>45975</v>
      </c>
      <c r="B23" s="17" t="s">
        <v>65</v>
      </c>
      <c r="C23" s="18">
        <v>0.7</v>
      </c>
      <c r="D23" s="18">
        <v>58.5</v>
      </c>
      <c r="E23" s="23">
        <v>54.8</v>
      </c>
      <c r="F23" s="23">
        <v>56.8</v>
      </c>
      <c r="G23" s="23">
        <v>61.2</v>
      </c>
      <c r="H23">
        <v>63.2</v>
      </c>
      <c r="I23">
        <v>53.5</v>
      </c>
      <c r="J23" s="17">
        <v>45975</v>
      </c>
      <c r="K23" s="45">
        <v>56.7</v>
      </c>
      <c r="L23" s="17">
        <v>46006</v>
      </c>
      <c r="M23" s="23">
        <v>56</v>
      </c>
      <c r="N23" t="s">
        <v>27</v>
      </c>
      <c r="O23" s="46">
        <v>-1.2345679012345734E-2</v>
      </c>
    </row>
    <row r="24" spans="1:15">
      <c r="A24" s="17">
        <v>45975</v>
      </c>
      <c r="B24" s="17" t="s">
        <v>66</v>
      </c>
      <c r="C24" s="18">
        <v>0.9</v>
      </c>
      <c r="D24" s="18">
        <v>12.7</v>
      </c>
      <c r="E24" s="23">
        <v>11.751724137931033</v>
      </c>
      <c r="F24" s="23">
        <v>12.248275862068967</v>
      </c>
      <c r="G24" s="23">
        <v>13.075862068965519</v>
      </c>
      <c r="H24">
        <v>13.820689655172412</v>
      </c>
      <c r="I24">
        <v>11.420689655172415</v>
      </c>
      <c r="J24" s="17">
        <v>45975</v>
      </c>
      <c r="K24" s="45">
        <v>12.165517241379309</v>
      </c>
      <c r="L24" s="17">
        <v>46006</v>
      </c>
      <c r="M24" s="23">
        <v>12</v>
      </c>
      <c r="N24" t="s">
        <v>27</v>
      </c>
      <c r="O24" s="46">
        <v>-1.3605442176870652E-2</v>
      </c>
    </row>
    <row r="25" spans="1:15">
      <c r="A25" s="17">
        <v>45979</v>
      </c>
      <c r="B25" s="17" t="s">
        <v>67</v>
      </c>
      <c r="C25" s="18">
        <v>1.2</v>
      </c>
      <c r="D25" s="18">
        <v>16.350000000000001</v>
      </c>
      <c r="E25" s="23">
        <v>16</v>
      </c>
      <c r="F25" s="23">
        <v>16.7</v>
      </c>
      <c r="G25" s="23">
        <v>17.8</v>
      </c>
      <c r="H25">
        <v>18.5</v>
      </c>
      <c r="I25">
        <v>15.5</v>
      </c>
      <c r="J25" s="17">
        <v>45979</v>
      </c>
      <c r="K25" s="45">
        <v>16.350000000000001</v>
      </c>
      <c r="L25" s="17">
        <v>46009</v>
      </c>
      <c r="M25" s="23">
        <v>16.100000000000001</v>
      </c>
      <c r="N25" t="s">
        <v>27</v>
      </c>
      <c r="O25" s="46">
        <v>-1.5290519877675823E-2</v>
      </c>
    </row>
    <row r="26" spans="1:15">
      <c r="A26" s="17">
        <v>45974</v>
      </c>
      <c r="B26" s="17" t="s">
        <v>1</v>
      </c>
      <c r="C26" s="18">
        <v>0.8</v>
      </c>
      <c r="D26" s="18">
        <v>26.4</v>
      </c>
      <c r="E26" s="23">
        <v>26.7</v>
      </c>
      <c r="F26" s="23">
        <v>27.1</v>
      </c>
      <c r="G26" s="23">
        <v>28.5</v>
      </c>
      <c r="H26">
        <v>30.5</v>
      </c>
      <c r="I26">
        <v>25.8</v>
      </c>
      <c r="J26" s="17">
        <v>45974</v>
      </c>
      <c r="K26" s="45">
        <v>26.8</v>
      </c>
      <c r="L26" s="17">
        <v>46006</v>
      </c>
      <c r="M26" s="23">
        <v>26.25</v>
      </c>
      <c r="N26" t="s">
        <v>27</v>
      </c>
      <c r="O26" s="46">
        <v>-2.0522388059701524E-2</v>
      </c>
    </row>
    <row r="27" spans="1:15">
      <c r="A27" s="17">
        <v>45981</v>
      </c>
      <c r="B27" s="17" t="s">
        <v>68</v>
      </c>
      <c r="C27" s="18">
        <v>0.7</v>
      </c>
      <c r="D27" s="18">
        <v>17</v>
      </c>
      <c r="E27" s="23">
        <v>17.399999999999999</v>
      </c>
      <c r="F27" s="23">
        <v>17.899999999999999</v>
      </c>
      <c r="G27" s="23">
        <v>19.399999999999999</v>
      </c>
      <c r="H27">
        <v>21.3</v>
      </c>
      <c r="I27">
        <v>16.600000000000001</v>
      </c>
      <c r="J27" s="17">
        <v>45981</v>
      </c>
      <c r="K27" s="45">
        <v>17.899999999999999</v>
      </c>
      <c r="L27" s="17">
        <v>46013</v>
      </c>
      <c r="M27" s="23">
        <v>17.5</v>
      </c>
      <c r="N27" t="s">
        <v>27</v>
      </c>
      <c r="O27" s="46">
        <v>-2.2346368715083775E-2</v>
      </c>
    </row>
    <row r="28" spans="1:15">
      <c r="A28" s="17">
        <v>45975</v>
      </c>
      <c r="B28" s="17" t="s">
        <v>69</v>
      </c>
      <c r="C28" s="18">
        <v>0.6</v>
      </c>
      <c r="D28" s="18">
        <v>61.8</v>
      </c>
      <c r="E28" s="23">
        <v>66</v>
      </c>
      <c r="F28" s="23">
        <v>67.5</v>
      </c>
      <c r="G28" s="23">
        <v>72</v>
      </c>
      <c r="H28">
        <v>80</v>
      </c>
      <c r="I28">
        <v>64.400000000000006</v>
      </c>
      <c r="J28" s="17">
        <v>45975</v>
      </c>
      <c r="K28" s="45">
        <v>66.8</v>
      </c>
      <c r="L28" s="17">
        <v>46006</v>
      </c>
      <c r="M28" s="23">
        <v>65.3</v>
      </c>
      <c r="N28" t="s">
        <v>27</v>
      </c>
      <c r="O28" s="46">
        <v>-2.2455089820359264E-2</v>
      </c>
    </row>
    <row r="29" spans="1:15">
      <c r="A29" s="17">
        <v>45986</v>
      </c>
      <c r="B29" s="17" t="s">
        <v>70</v>
      </c>
      <c r="C29" s="18">
        <v>1.2</v>
      </c>
      <c r="D29" s="18">
        <v>17.100000000000001</v>
      </c>
      <c r="E29" s="23">
        <v>16.8</v>
      </c>
      <c r="F29" s="23">
        <v>17.2</v>
      </c>
      <c r="G29" s="23">
        <v>18</v>
      </c>
      <c r="H29">
        <v>19</v>
      </c>
      <c r="I29">
        <v>16.399999999999999</v>
      </c>
      <c r="J29" s="17">
        <v>45986</v>
      </c>
      <c r="K29" s="45">
        <v>16.899999999999999</v>
      </c>
      <c r="L29" s="17">
        <v>46003</v>
      </c>
      <c r="M29" s="23">
        <v>16.399999999999999</v>
      </c>
      <c r="N29" t="s">
        <v>27</v>
      </c>
      <c r="O29" s="46">
        <v>-2.9585798816568087E-2</v>
      </c>
    </row>
    <row r="30" spans="1:15">
      <c r="A30" s="17">
        <v>45981</v>
      </c>
      <c r="B30" s="17" t="s">
        <v>71</v>
      </c>
      <c r="C30" s="18">
        <v>1</v>
      </c>
      <c r="D30" s="18">
        <v>56.1</v>
      </c>
      <c r="E30" s="23">
        <v>55.5</v>
      </c>
      <c r="F30" s="23">
        <v>57.5</v>
      </c>
      <c r="G30" s="23">
        <v>63</v>
      </c>
      <c r="H30">
        <v>70</v>
      </c>
      <c r="I30">
        <v>53.8</v>
      </c>
      <c r="J30" s="17">
        <v>45981</v>
      </c>
      <c r="K30" s="45">
        <v>57.3</v>
      </c>
      <c r="L30" s="17">
        <v>46013</v>
      </c>
      <c r="M30" s="23">
        <v>55.5</v>
      </c>
      <c r="N30" t="s">
        <v>27</v>
      </c>
      <c r="O30" s="46">
        <v>-3.1413612565444948E-2</v>
      </c>
    </row>
    <row r="31" spans="1:15">
      <c r="A31" s="17">
        <v>45992</v>
      </c>
      <c r="B31" s="17" t="s">
        <v>72</v>
      </c>
      <c r="C31" s="18">
        <v>0.6</v>
      </c>
      <c r="D31" s="18">
        <v>31.5</v>
      </c>
      <c r="E31" s="23">
        <v>34</v>
      </c>
      <c r="F31" s="23">
        <v>35.200000000000003</v>
      </c>
      <c r="G31" s="23">
        <v>38</v>
      </c>
      <c r="H31">
        <v>39.200000000000003</v>
      </c>
      <c r="I31">
        <v>33</v>
      </c>
      <c r="J31" s="17">
        <v>45992</v>
      </c>
      <c r="K31" s="45">
        <v>34.15</v>
      </c>
      <c r="L31" s="17">
        <v>46001</v>
      </c>
      <c r="M31" s="23">
        <v>33</v>
      </c>
      <c r="N31" t="s">
        <v>27</v>
      </c>
      <c r="O31" s="46">
        <v>-3.367496339677889E-2</v>
      </c>
    </row>
    <row r="32" spans="1:15">
      <c r="A32" s="17">
        <v>45996</v>
      </c>
      <c r="B32" s="17" t="s">
        <v>56</v>
      </c>
      <c r="C32" s="18">
        <v>0.9</v>
      </c>
      <c r="D32" s="18">
        <v>34.299999999999997</v>
      </c>
      <c r="E32" s="23">
        <v>32.5</v>
      </c>
      <c r="F32" s="23">
        <v>33.1</v>
      </c>
      <c r="G32" s="23">
        <v>36</v>
      </c>
      <c r="H32">
        <v>40</v>
      </c>
      <c r="I32">
        <v>31.4</v>
      </c>
      <c r="J32" s="17">
        <v>45996</v>
      </c>
      <c r="K32" s="45">
        <v>32.6</v>
      </c>
      <c r="L32" s="17">
        <v>46000</v>
      </c>
      <c r="M32" s="23">
        <v>31.4</v>
      </c>
      <c r="N32" t="s">
        <v>27</v>
      </c>
      <c r="O32" s="46">
        <v>-3.6809815950920366E-2</v>
      </c>
    </row>
    <row r="33" spans="1:15">
      <c r="A33" s="17">
        <v>45999</v>
      </c>
      <c r="B33" s="17" t="s">
        <v>73</v>
      </c>
      <c r="C33" s="18">
        <v>1.3</v>
      </c>
      <c r="D33" s="18">
        <v>28.65</v>
      </c>
      <c r="E33" s="23">
        <v>29</v>
      </c>
      <c r="F33" s="23">
        <v>30</v>
      </c>
      <c r="G33" s="23">
        <v>32.700000000000003</v>
      </c>
      <c r="H33">
        <v>33.799999999999997</v>
      </c>
      <c r="I33">
        <v>27.5</v>
      </c>
      <c r="J33" s="17">
        <v>45999</v>
      </c>
      <c r="K33" s="45">
        <v>29.55</v>
      </c>
      <c r="L33" s="17">
        <v>46002</v>
      </c>
      <c r="M33" s="23">
        <v>28.4</v>
      </c>
      <c r="N33" t="s">
        <v>27</v>
      </c>
      <c r="O33" s="46">
        <v>-3.8917089678511041E-2</v>
      </c>
    </row>
    <row r="34" spans="1:15">
      <c r="A34" s="17">
        <v>45987</v>
      </c>
      <c r="B34" s="17" t="s">
        <v>74</v>
      </c>
      <c r="C34" s="18">
        <v>1.1000000000000001</v>
      </c>
      <c r="D34" s="18">
        <v>17.55</v>
      </c>
      <c r="E34" s="23">
        <v>17.5</v>
      </c>
      <c r="F34" s="23">
        <v>18</v>
      </c>
      <c r="G34" s="23">
        <v>20</v>
      </c>
      <c r="H34">
        <v>22</v>
      </c>
      <c r="I34">
        <v>17</v>
      </c>
      <c r="J34" s="17">
        <v>45988</v>
      </c>
      <c r="K34" s="45">
        <v>17.7</v>
      </c>
      <c r="L34" s="17">
        <v>46006</v>
      </c>
      <c r="M34" s="23">
        <v>17</v>
      </c>
      <c r="N34" t="s">
        <v>27</v>
      </c>
      <c r="O34" s="46">
        <v>-3.9548022598870025E-2</v>
      </c>
    </row>
    <row r="35" spans="1:15">
      <c r="A35" s="17">
        <v>45978</v>
      </c>
      <c r="B35" s="17" t="s">
        <v>75</v>
      </c>
      <c r="C35" s="18">
        <v>0.6</v>
      </c>
      <c r="D35" s="18">
        <v>95.8</v>
      </c>
      <c r="E35" s="23">
        <v>97</v>
      </c>
      <c r="F35" s="23">
        <v>99.5</v>
      </c>
      <c r="G35" s="23">
        <v>105</v>
      </c>
      <c r="H35">
        <v>114</v>
      </c>
      <c r="I35">
        <v>94.3</v>
      </c>
      <c r="J35" s="17">
        <v>45979</v>
      </c>
      <c r="K35" s="45">
        <v>98.2</v>
      </c>
      <c r="L35" s="17">
        <v>46003</v>
      </c>
      <c r="M35" s="23">
        <v>94.3</v>
      </c>
      <c r="N35" t="s">
        <v>27</v>
      </c>
      <c r="O35" s="46">
        <v>-3.9714867617107963E-2</v>
      </c>
    </row>
    <row r="36" spans="1:15">
      <c r="A36" s="17">
        <v>45999</v>
      </c>
      <c r="B36" s="17" t="s">
        <v>54</v>
      </c>
      <c r="C36" s="18">
        <v>1</v>
      </c>
      <c r="D36" s="18">
        <v>22.55</v>
      </c>
      <c r="E36" s="23">
        <v>22.3</v>
      </c>
      <c r="F36" s="23">
        <v>23.3</v>
      </c>
      <c r="G36" s="23">
        <v>24.8</v>
      </c>
      <c r="H36">
        <v>26</v>
      </c>
      <c r="I36">
        <v>21.5</v>
      </c>
      <c r="J36" s="17">
        <v>45999</v>
      </c>
      <c r="K36" s="45">
        <v>22.4</v>
      </c>
      <c r="L36" s="17">
        <v>46003</v>
      </c>
      <c r="M36" s="23">
        <v>21.5</v>
      </c>
      <c r="N36" t="s">
        <v>27</v>
      </c>
      <c r="O36" s="46">
        <v>-4.0178571428571397E-2</v>
      </c>
    </row>
    <row r="37" spans="1:15">
      <c r="A37" s="17">
        <v>45982</v>
      </c>
      <c r="B37" s="17" t="s">
        <v>76</v>
      </c>
      <c r="C37" s="18">
        <v>1.4</v>
      </c>
      <c r="D37" s="18">
        <v>27.3</v>
      </c>
      <c r="E37" s="23">
        <v>31.3</v>
      </c>
      <c r="F37" s="23">
        <v>32.6</v>
      </c>
      <c r="G37" s="23">
        <v>35</v>
      </c>
      <c r="H37">
        <v>36.4</v>
      </c>
      <c r="I37">
        <v>30.5</v>
      </c>
      <c r="J37" s="17">
        <v>45982</v>
      </c>
      <c r="K37" s="45">
        <v>31.8</v>
      </c>
      <c r="L37" s="17">
        <v>46002</v>
      </c>
      <c r="M37" s="23">
        <v>30.5</v>
      </c>
      <c r="N37" t="s">
        <v>27</v>
      </c>
      <c r="O37" s="46">
        <v>-4.0880503144654079E-2</v>
      </c>
    </row>
    <row r="38" spans="1:15">
      <c r="A38" s="17">
        <v>45979</v>
      </c>
      <c r="B38" s="17" t="s">
        <v>9</v>
      </c>
      <c r="C38" s="18">
        <v>0.7</v>
      </c>
      <c r="D38" s="18">
        <v>77</v>
      </c>
      <c r="E38" s="23">
        <v>78.5</v>
      </c>
      <c r="F38" s="23">
        <v>80</v>
      </c>
      <c r="G38" s="23">
        <v>86</v>
      </c>
      <c r="H38">
        <v>93</v>
      </c>
      <c r="I38">
        <v>75.7</v>
      </c>
      <c r="J38" s="17">
        <v>45979</v>
      </c>
      <c r="K38" s="45">
        <v>79</v>
      </c>
      <c r="L38" s="17">
        <v>46003</v>
      </c>
      <c r="M38" s="23">
        <v>75.7</v>
      </c>
      <c r="N38" t="s">
        <v>27</v>
      </c>
      <c r="O38" s="46">
        <v>-4.1772151898734178E-2</v>
      </c>
    </row>
    <row r="39" spans="1:15">
      <c r="A39" s="17">
        <v>45980</v>
      </c>
      <c r="B39" s="17" t="s">
        <v>73</v>
      </c>
      <c r="C39" s="18">
        <v>1.3</v>
      </c>
      <c r="D39" s="18">
        <v>28.65</v>
      </c>
      <c r="E39" s="23">
        <v>28.3</v>
      </c>
      <c r="F39" s="23">
        <v>28.8</v>
      </c>
      <c r="G39" s="23">
        <v>31</v>
      </c>
      <c r="H39">
        <v>33</v>
      </c>
      <c r="I39">
        <v>27.2</v>
      </c>
      <c r="J39" s="17">
        <v>45980</v>
      </c>
      <c r="K39" s="45">
        <v>28.4</v>
      </c>
      <c r="L39" s="17">
        <v>46003</v>
      </c>
      <c r="M39" s="23">
        <v>27.2</v>
      </c>
      <c r="N39" t="s">
        <v>27</v>
      </c>
      <c r="O39" s="46">
        <v>-4.2253521126760507E-2</v>
      </c>
    </row>
    <row r="40" spans="1:15">
      <c r="A40" s="17">
        <v>45985</v>
      </c>
      <c r="B40" s="17" t="s">
        <v>75</v>
      </c>
      <c r="C40" s="18">
        <v>0.7</v>
      </c>
      <c r="D40" s="18">
        <v>95.8</v>
      </c>
      <c r="E40" s="23">
        <v>96.992614770459085</v>
      </c>
      <c r="F40" s="23">
        <v>99.961776447105791</v>
      </c>
      <c r="G40" s="23">
        <v>106.69187624750498</v>
      </c>
      <c r="H40">
        <v>110.84870259481039</v>
      </c>
      <c r="I40">
        <v>94.518313373253491</v>
      </c>
      <c r="J40" s="17">
        <v>45985</v>
      </c>
      <c r="K40" s="45">
        <v>98.873083832335325</v>
      </c>
      <c r="L40" s="17">
        <v>46003</v>
      </c>
      <c r="M40" s="23">
        <v>94.5</v>
      </c>
      <c r="N40" t="s">
        <v>27</v>
      </c>
      <c r="O40" s="46">
        <v>-4.4229265062178169E-2</v>
      </c>
    </row>
    <row r="41" spans="1:15">
      <c r="A41" s="17">
        <v>45979</v>
      </c>
      <c r="B41" s="17" t="s">
        <v>77</v>
      </c>
      <c r="C41" s="18">
        <v>0.5</v>
      </c>
      <c r="D41" s="18">
        <v>32.700000000000003</v>
      </c>
      <c r="E41" s="23">
        <v>34.5</v>
      </c>
      <c r="F41" s="23">
        <v>35</v>
      </c>
      <c r="G41" s="23">
        <v>37.5</v>
      </c>
      <c r="H41">
        <v>40</v>
      </c>
      <c r="I41">
        <v>33.200000000000003</v>
      </c>
      <c r="J41" s="17">
        <v>45979</v>
      </c>
      <c r="K41" s="45">
        <v>34.799999999999997</v>
      </c>
      <c r="L41" s="17">
        <v>46003</v>
      </c>
      <c r="M41" s="23">
        <v>33.200000000000003</v>
      </c>
      <c r="N41" t="s">
        <v>27</v>
      </c>
      <c r="O41" s="46">
        <v>-4.5977011494252706E-2</v>
      </c>
    </row>
    <row r="42" spans="1:15">
      <c r="A42" s="17">
        <v>45989</v>
      </c>
      <c r="B42" s="17" t="s">
        <v>78</v>
      </c>
      <c r="C42" s="18">
        <v>1.3</v>
      </c>
      <c r="D42" s="18">
        <v>38</v>
      </c>
      <c r="E42" s="23">
        <v>38.799999999999997</v>
      </c>
      <c r="F42" s="23">
        <v>39.799999999999997</v>
      </c>
      <c r="G42" s="23">
        <v>42</v>
      </c>
      <c r="H42">
        <v>45.5</v>
      </c>
      <c r="I42">
        <v>37.4</v>
      </c>
      <c r="J42" s="17">
        <v>45989</v>
      </c>
      <c r="K42" s="45">
        <v>39</v>
      </c>
      <c r="L42" s="17">
        <v>46000</v>
      </c>
      <c r="M42" s="23">
        <v>37.200000000000003</v>
      </c>
      <c r="N42" t="s">
        <v>27</v>
      </c>
      <c r="O42" s="46">
        <v>-4.6153846153846101E-2</v>
      </c>
    </row>
    <row r="43" spans="1:15">
      <c r="A43" s="17">
        <v>45996</v>
      </c>
      <c r="B43" s="17" t="s">
        <v>61</v>
      </c>
      <c r="C43" s="18">
        <v>0.9</v>
      </c>
      <c r="D43" s="18">
        <v>17.75</v>
      </c>
      <c r="E43" s="23">
        <v>18.5</v>
      </c>
      <c r="F43" s="23">
        <v>18.899999999999999</v>
      </c>
      <c r="G43" s="23">
        <v>19.7</v>
      </c>
      <c r="H43">
        <v>21.5</v>
      </c>
      <c r="I43">
        <v>17.8</v>
      </c>
      <c r="J43" s="17">
        <v>45996</v>
      </c>
      <c r="K43" s="45">
        <v>18.7</v>
      </c>
      <c r="L43" s="17">
        <v>46003</v>
      </c>
      <c r="M43" s="23">
        <v>17.8</v>
      </c>
      <c r="N43" t="s">
        <v>27</v>
      </c>
      <c r="O43" s="46">
        <v>-4.8128342245989275E-2</v>
      </c>
    </row>
    <row r="44" spans="1:15">
      <c r="A44" s="17">
        <v>45979</v>
      </c>
      <c r="B44" s="17" t="s">
        <v>61</v>
      </c>
      <c r="C44" s="18">
        <v>1.2</v>
      </c>
      <c r="D44" s="18">
        <v>17.75</v>
      </c>
      <c r="E44" s="23">
        <v>18.3</v>
      </c>
      <c r="F44" s="23">
        <v>18.7</v>
      </c>
      <c r="G44" s="23">
        <v>19.5</v>
      </c>
      <c r="H44">
        <v>20.7</v>
      </c>
      <c r="I44">
        <v>17.8</v>
      </c>
      <c r="J44" s="17">
        <v>45979</v>
      </c>
      <c r="K44" s="45">
        <v>18.7</v>
      </c>
      <c r="L44" s="17">
        <v>46003</v>
      </c>
      <c r="M44" s="23">
        <v>17.8</v>
      </c>
      <c r="N44" t="s">
        <v>27</v>
      </c>
      <c r="O44" s="46">
        <v>-4.8128342245989275E-2</v>
      </c>
    </row>
    <row r="45" spans="1:15">
      <c r="A45" s="17">
        <v>45986</v>
      </c>
      <c r="B45" s="17" t="s">
        <v>71</v>
      </c>
      <c r="C45" s="18">
        <v>1.1000000000000001</v>
      </c>
      <c r="D45" s="18">
        <v>56.1</v>
      </c>
      <c r="E45" s="23">
        <v>57.5</v>
      </c>
      <c r="F45" s="23">
        <v>58.5</v>
      </c>
      <c r="G45" s="23">
        <v>62</v>
      </c>
      <c r="H45">
        <v>65</v>
      </c>
      <c r="I45">
        <v>54.9</v>
      </c>
      <c r="J45" s="17">
        <v>45986</v>
      </c>
      <c r="K45" s="45">
        <v>57.7</v>
      </c>
      <c r="L45" s="17">
        <v>46006</v>
      </c>
      <c r="M45" s="23">
        <v>54.9</v>
      </c>
      <c r="N45" t="s">
        <v>27</v>
      </c>
      <c r="O45" s="46">
        <v>-4.8526863084922045E-2</v>
      </c>
    </row>
    <row r="46" spans="1:15">
      <c r="A46" s="17">
        <v>46001</v>
      </c>
      <c r="B46" s="17" t="s">
        <v>79</v>
      </c>
      <c r="C46" s="18">
        <v>1.3</v>
      </c>
      <c r="D46" s="18">
        <v>13.15</v>
      </c>
      <c r="E46" s="23">
        <v>14.2</v>
      </c>
      <c r="F46" s="23">
        <v>14.6</v>
      </c>
      <c r="G46" s="23">
        <v>16</v>
      </c>
      <c r="H46">
        <v>18</v>
      </c>
      <c r="I46">
        <v>13.7</v>
      </c>
      <c r="J46" s="17">
        <v>46001</v>
      </c>
      <c r="K46" s="45">
        <v>14.4</v>
      </c>
      <c r="L46" s="17">
        <v>46006</v>
      </c>
      <c r="M46" s="23">
        <v>13.7</v>
      </c>
      <c r="N46" t="s">
        <v>27</v>
      </c>
      <c r="O46" s="46">
        <v>-4.861111111111116E-2</v>
      </c>
    </row>
    <row r="47" spans="1:15">
      <c r="A47" s="17">
        <v>45996</v>
      </c>
      <c r="B47" s="17" t="s">
        <v>80</v>
      </c>
      <c r="C47" s="18">
        <v>0.5</v>
      </c>
      <c r="D47" s="18">
        <v>20.9</v>
      </c>
      <c r="E47" s="23">
        <v>26.5</v>
      </c>
      <c r="F47" s="23">
        <v>27.5</v>
      </c>
      <c r="G47" s="23">
        <v>29.9</v>
      </c>
      <c r="H47">
        <v>31.3</v>
      </c>
      <c r="I47">
        <v>25.3</v>
      </c>
      <c r="J47" s="17">
        <v>45996</v>
      </c>
      <c r="K47" s="45">
        <v>26.3</v>
      </c>
      <c r="L47" s="17">
        <v>46003</v>
      </c>
      <c r="M47" s="23">
        <v>25</v>
      </c>
      <c r="N47" t="s">
        <v>27</v>
      </c>
      <c r="O47" s="46">
        <v>-4.9429657794676785E-2</v>
      </c>
    </row>
    <row r="48" spans="1:15">
      <c r="A48" s="17">
        <v>45994</v>
      </c>
      <c r="B48" s="17" t="s">
        <v>81</v>
      </c>
      <c r="C48" s="18">
        <v>0.9</v>
      </c>
      <c r="D48" s="18">
        <v>33.65</v>
      </c>
      <c r="E48" s="23">
        <v>33.6</v>
      </c>
      <c r="F48" s="23">
        <v>34.6</v>
      </c>
      <c r="G48" s="23">
        <v>38</v>
      </c>
      <c r="H48">
        <v>43.5</v>
      </c>
      <c r="I48">
        <v>32.299999999999997</v>
      </c>
      <c r="J48" s="17">
        <v>45994</v>
      </c>
      <c r="K48" s="45">
        <v>34</v>
      </c>
      <c r="L48" s="17">
        <v>46000</v>
      </c>
      <c r="M48" s="23">
        <v>32.299999999999997</v>
      </c>
      <c r="N48" t="s">
        <v>27</v>
      </c>
      <c r="O48" s="46">
        <v>-5.0000000000000044E-2</v>
      </c>
    </row>
    <row r="49" spans="1:15">
      <c r="A49" s="17">
        <v>45995</v>
      </c>
      <c r="B49" s="17" t="s">
        <v>9</v>
      </c>
      <c r="C49" s="18">
        <v>1.4</v>
      </c>
      <c r="D49" s="18">
        <v>77</v>
      </c>
      <c r="E49" s="23">
        <v>79.2</v>
      </c>
      <c r="F49" s="23">
        <v>80.8</v>
      </c>
      <c r="G49" s="23">
        <v>87</v>
      </c>
      <c r="H49">
        <v>94</v>
      </c>
      <c r="I49">
        <v>75.7</v>
      </c>
      <c r="J49" s="17">
        <v>45995</v>
      </c>
      <c r="K49" s="45">
        <v>80</v>
      </c>
      <c r="L49" s="17">
        <v>46003</v>
      </c>
      <c r="M49" s="23">
        <v>75.7</v>
      </c>
      <c r="N49" t="s">
        <v>27</v>
      </c>
      <c r="O49" s="46">
        <v>-5.3749999999999964E-2</v>
      </c>
    </row>
    <row r="50" spans="1:15">
      <c r="A50" s="17">
        <v>45995</v>
      </c>
      <c r="B50" s="17" t="s">
        <v>58</v>
      </c>
      <c r="C50" s="18">
        <v>0.6</v>
      </c>
      <c r="D50" s="18">
        <v>12.4</v>
      </c>
      <c r="E50" s="23">
        <v>12.7</v>
      </c>
      <c r="F50" s="23">
        <v>13</v>
      </c>
      <c r="G50" s="23">
        <v>14.2</v>
      </c>
      <c r="H50">
        <v>15.5</v>
      </c>
      <c r="I50">
        <v>12.3</v>
      </c>
      <c r="J50" s="17">
        <v>45995</v>
      </c>
      <c r="K50" s="45">
        <v>13</v>
      </c>
      <c r="L50" s="17">
        <v>46006</v>
      </c>
      <c r="M50" s="23">
        <v>12.3</v>
      </c>
      <c r="N50" t="s">
        <v>27</v>
      </c>
      <c r="O50" s="46">
        <v>-5.3846153846153766E-2</v>
      </c>
    </row>
    <row r="51" spans="1:15">
      <c r="A51" s="17">
        <v>45999</v>
      </c>
      <c r="B51" s="17" t="s">
        <v>28</v>
      </c>
      <c r="C51" s="18">
        <v>1.4</v>
      </c>
      <c r="D51" s="18">
        <v>17.100000000000001</v>
      </c>
      <c r="E51" s="23">
        <v>18</v>
      </c>
      <c r="F51" s="23">
        <v>18.5</v>
      </c>
      <c r="G51" s="23">
        <v>19.899999999999999</v>
      </c>
      <c r="H51">
        <v>21.5</v>
      </c>
      <c r="I51">
        <v>17.399999999999999</v>
      </c>
      <c r="J51" s="17">
        <v>45999</v>
      </c>
      <c r="K51" s="45">
        <v>18.399999999999999</v>
      </c>
      <c r="L51" s="17">
        <v>46021</v>
      </c>
      <c r="M51" s="23">
        <v>17.399999999999999</v>
      </c>
      <c r="N51" t="s">
        <v>27</v>
      </c>
      <c r="O51" s="46">
        <v>-5.4347826086956541E-2</v>
      </c>
    </row>
    <row r="52" spans="1:15">
      <c r="A52" s="17">
        <v>45993</v>
      </c>
      <c r="B52" s="17" t="s">
        <v>67</v>
      </c>
      <c r="C52" s="18">
        <v>1.2</v>
      </c>
      <c r="D52" s="18">
        <v>16.350000000000001</v>
      </c>
      <c r="E52" s="23">
        <v>16.600000000000001</v>
      </c>
      <c r="F52" s="23">
        <v>17</v>
      </c>
      <c r="G52" s="23">
        <v>18</v>
      </c>
      <c r="H52">
        <v>19.399999999999999</v>
      </c>
      <c r="I52">
        <v>15.9</v>
      </c>
      <c r="J52" s="17">
        <v>45993</v>
      </c>
      <c r="K52" s="45">
        <v>16.899999999999999</v>
      </c>
      <c r="L52" s="17">
        <v>46006</v>
      </c>
      <c r="M52" s="23">
        <v>15.9</v>
      </c>
      <c r="N52" t="s">
        <v>27</v>
      </c>
      <c r="O52" s="46">
        <v>-5.9171597633135953E-2</v>
      </c>
    </row>
    <row r="53" spans="1:15">
      <c r="A53" s="17">
        <v>45982</v>
      </c>
      <c r="B53" s="17" t="s">
        <v>60</v>
      </c>
      <c r="C53" s="18">
        <v>1</v>
      </c>
      <c r="D53" s="18">
        <v>22.25</v>
      </c>
      <c r="E53" s="23">
        <v>23.3</v>
      </c>
      <c r="F53" s="23">
        <v>23.8</v>
      </c>
      <c r="G53" s="23">
        <v>25.5</v>
      </c>
      <c r="H53">
        <v>28</v>
      </c>
      <c r="I53">
        <v>22.2</v>
      </c>
      <c r="J53" s="17">
        <v>45982</v>
      </c>
      <c r="K53" s="45">
        <v>23.6</v>
      </c>
      <c r="L53" s="17">
        <v>46003</v>
      </c>
      <c r="M53" s="23">
        <v>22.2</v>
      </c>
      <c r="N53" t="s">
        <v>27</v>
      </c>
      <c r="O53" s="46">
        <v>-5.9322033898305149E-2</v>
      </c>
    </row>
    <row r="54" spans="1:15">
      <c r="A54" s="17">
        <v>45986</v>
      </c>
      <c r="B54" s="17" t="s">
        <v>82</v>
      </c>
      <c r="C54" s="18">
        <v>1.5</v>
      </c>
      <c r="D54" s="18">
        <v>35.35</v>
      </c>
      <c r="E54" s="23">
        <v>34</v>
      </c>
      <c r="F54" s="23">
        <v>35.1</v>
      </c>
      <c r="G54" s="23">
        <v>37.299999999999997</v>
      </c>
      <c r="H54">
        <v>38.5</v>
      </c>
      <c r="I54">
        <v>32.9</v>
      </c>
      <c r="J54" s="17">
        <v>45986</v>
      </c>
      <c r="K54" s="45">
        <v>35</v>
      </c>
      <c r="L54" s="17">
        <v>46003</v>
      </c>
      <c r="M54" s="23">
        <v>32.9</v>
      </c>
      <c r="N54" t="s">
        <v>27</v>
      </c>
      <c r="O54" s="46">
        <v>-6.0000000000000053E-2</v>
      </c>
    </row>
    <row r="55" spans="1:15">
      <c r="A55" s="17">
        <v>45999</v>
      </c>
      <c r="B55" s="17" t="s">
        <v>83</v>
      </c>
      <c r="C55" s="18">
        <v>0.9</v>
      </c>
      <c r="D55" s="18">
        <v>22.6</v>
      </c>
      <c r="E55" s="23">
        <v>24</v>
      </c>
      <c r="F55" s="23">
        <v>24.6</v>
      </c>
      <c r="G55" s="23">
        <v>26.3</v>
      </c>
      <c r="H55">
        <v>28.3</v>
      </c>
      <c r="I55">
        <v>22.8</v>
      </c>
      <c r="J55" s="17">
        <v>45999</v>
      </c>
      <c r="K55" s="45">
        <v>24.3</v>
      </c>
      <c r="L55" s="17">
        <v>46017</v>
      </c>
      <c r="M55" s="23">
        <v>22.8</v>
      </c>
      <c r="N55" t="s">
        <v>27</v>
      </c>
      <c r="O55" s="46">
        <v>-6.1728395061728447E-2</v>
      </c>
    </row>
    <row r="56" spans="1:15">
      <c r="A56" s="17">
        <v>45979</v>
      </c>
      <c r="B56" s="17" t="s">
        <v>71</v>
      </c>
      <c r="C56" s="18">
        <v>0.7</v>
      </c>
      <c r="D56" s="18">
        <v>56.1</v>
      </c>
      <c r="E56" s="23">
        <v>57</v>
      </c>
      <c r="F56" s="23">
        <v>59</v>
      </c>
      <c r="G56" s="23">
        <v>63.6</v>
      </c>
      <c r="H56">
        <v>65.8</v>
      </c>
      <c r="I56">
        <v>55</v>
      </c>
      <c r="J56" s="17">
        <v>45979</v>
      </c>
      <c r="K56" s="45">
        <v>59</v>
      </c>
      <c r="L56" s="17">
        <v>46000</v>
      </c>
      <c r="M56" s="23">
        <v>55.35</v>
      </c>
      <c r="N56" t="s">
        <v>27</v>
      </c>
      <c r="O56" s="46">
        <v>-6.1864406779660985E-2</v>
      </c>
    </row>
    <row r="57" spans="1:15">
      <c r="A57" s="17">
        <v>45995</v>
      </c>
      <c r="B57" s="17" t="s">
        <v>84</v>
      </c>
      <c r="C57" s="18">
        <v>1</v>
      </c>
      <c r="D57" s="18">
        <v>21.3</v>
      </c>
      <c r="E57" s="23">
        <v>22</v>
      </c>
      <c r="F57" s="23">
        <v>22.6</v>
      </c>
      <c r="G57" s="23">
        <v>24.3</v>
      </c>
      <c r="H57">
        <v>27</v>
      </c>
      <c r="I57">
        <v>20.9</v>
      </c>
      <c r="J57" s="17">
        <v>45995</v>
      </c>
      <c r="K57" s="45">
        <v>22.5</v>
      </c>
      <c r="L57" s="17">
        <v>46003</v>
      </c>
      <c r="M57" s="23">
        <v>20.7</v>
      </c>
      <c r="N57" t="s">
        <v>27</v>
      </c>
      <c r="O57" s="46">
        <v>-8.0000000000000071E-2</v>
      </c>
    </row>
    <row r="58" spans="1:15">
      <c r="B58" s="17"/>
    </row>
    <row r="59" spans="1:15">
      <c r="B59" s="17"/>
    </row>
    <row r="60" spans="1:15">
      <c r="B60" s="17"/>
    </row>
    <row r="61" spans="1:15">
      <c r="B61" s="17"/>
    </row>
    <row r="62" spans="1:15">
      <c r="B62" s="17"/>
    </row>
    <row r="63" spans="1:15">
      <c r="B63" s="17"/>
    </row>
    <row r="64" spans="1:15">
      <c r="B64" s="17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05826-9aea-4385-8161-d6c29381f0dd" xsi:nil="true"/>
    <lcf76f155ced4ddcb4097134ff3c332f xmlns="a7606916-1a74-4c8c-af97-e4bfe9a1e5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7BEA5CD92DC46AC5B12ECA1602374" ma:contentTypeVersion="17" ma:contentTypeDescription="Create a new document." ma:contentTypeScope="" ma:versionID="cdd5a7433e849fd34c16deddfb50a215">
  <xsd:schema xmlns:xsd="http://www.w3.org/2001/XMLSchema" xmlns:xs="http://www.w3.org/2001/XMLSchema" xmlns:p="http://schemas.microsoft.com/office/2006/metadata/properties" xmlns:ns2="a7606916-1a74-4c8c-af97-e4bfe9a1e5d6" xmlns:ns3="13b05826-9aea-4385-8161-d6c29381f0dd" targetNamespace="http://schemas.microsoft.com/office/2006/metadata/properties" ma:root="true" ma:fieldsID="34864d60b4a87ddd8b0277d76e54576d" ns2:_="" ns3:_="">
    <xsd:import namespace="a7606916-1a74-4c8c-af97-e4bfe9a1e5d6"/>
    <xsd:import namespace="13b05826-9aea-4385-8161-d6c29381f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06916-1a74-4c8c-af97-e4bfe9a1e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d13284-67ce-48d8-bb3e-f23d08c23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05826-9aea-4385-8161-d6c29381f0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368e02-e7bd-4945-9658-949dd5ef23d6}" ma:internalName="TaxCatchAll" ma:showField="CatchAllData" ma:web="13b05826-9aea-4385-8161-d6c29381f0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35CB6-C486-48B5-9506-83E6955D8C34}">
  <ds:schemaRefs>
    <ds:schemaRef ds:uri="http://schemas.microsoft.com/office/2006/metadata/properties"/>
    <ds:schemaRef ds:uri="http://schemas.microsoft.com/office/infopath/2007/PartnerControls"/>
    <ds:schemaRef ds:uri="13b05826-9aea-4385-8161-d6c29381f0dd"/>
    <ds:schemaRef ds:uri="a7606916-1a74-4c8c-af97-e4bfe9a1e5d6"/>
  </ds:schemaRefs>
</ds:datastoreItem>
</file>

<file path=customXml/itemProps2.xml><?xml version="1.0" encoding="utf-8"?>
<ds:datastoreItem xmlns:ds="http://schemas.openxmlformats.org/officeDocument/2006/customXml" ds:itemID="{2F37490F-44A7-4F94-8150-77FDADA2A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06916-1a74-4c8c-af97-e4bfe9a1e5d6"/>
    <ds:schemaRef ds:uri="13b05826-9aea-4385-8161-d6c29381f0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19B457-654C-44E9-BA89-7127B2A4BF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monthly_card</vt:lpstr>
      <vt:lpstr>mtd</vt:lpstr>
      <vt:lpstr>monthly</vt:lpstr>
      <vt:lpstr>monthly_sta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Hoang Gia Bao</dc:creator>
  <cp:lastModifiedBy>Bao Doan</cp:lastModifiedBy>
  <cp:lastPrinted>2025-07-15T09:20:48Z</cp:lastPrinted>
  <dcterms:created xsi:type="dcterms:W3CDTF">2025-06-24T03:33:50Z</dcterms:created>
  <dcterms:modified xsi:type="dcterms:W3CDTF">2026-03-12T03:52:01Z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0x01010015D7BEA5CD92DC46AC5B12ECA1602374</vt:lpwstr>
  </property>
</Properties>
</file>